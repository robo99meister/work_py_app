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7C6A7BA9-BC2B-445A-9A59-44FB85382B44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ピン配置" sheetId="1" r:id="rId1"/>
    <sheet name="シリアル通信" sheetId="2" r:id="rId2"/>
    <sheet name="通信マクロ" sheetId="3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2" i="3" l="1"/>
  <c r="C11" i="3"/>
  <c r="C3" i="3"/>
  <c r="C2" i="3"/>
  <c r="D1" i="3"/>
  <c r="O69" i="3" l="1"/>
  <c r="O133" i="3"/>
  <c r="O167" i="3"/>
  <c r="O189" i="3"/>
  <c r="O210" i="3"/>
  <c r="O231" i="3"/>
  <c r="O253" i="3"/>
  <c r="O274" i="3"/>
  <c r="O295" i="3"/>
  <c r="O317" i="3"/>
  <c r="O338" i="3"/>
  <c r="O359" i="3"/>
  <c r="O378" i="3"/>
  <c r="O394" i="3"/>
  <c r="O410" i="3"/>
  <c r="O426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9" i="3"/>
  <c r="O648" i="3"/>
  <c r="O657" i="3"/>
  <c r="O666" i="3"/>
  <c r="O675" i="3"/>
  <c r="P8" i="3"/>
  <c r="O8" i="3" s="1"/>
  <c r="P9" i="3"/>
  <c r="O9" i="3" s="1"/>
  <c r="P10" i="3"/>
  <c r="O10" i="3" s="1"/>
  <c r="P11" i="3"/>
  <c r="O11" i="3" s="1"/>
  <c r="P12" i="3"/>
  <c r="O12" i="3" s="1"/>
  <c r="P13" i="3"/>
  <c r="O13" i="3" s="1"/>
  <c r="P14" i="3"/>
  <c r="O14" i="3" s="1"/>
  <c r="P15" i="3"/>
  <c r="O15" i="3" s="1"/>
  <c r="P16" i="3"/>
  <c r="O16" i="3" s="1"/>
  <c r="P17" i="3"/>
  <c r="O17" i="3" s="1"/>
  <c r="P18" i="3"/>
  <c r="O18" i="3" s="1"/>
  <c r="P19" i="3"/>
  <c r="O19" i="3" s="1"/>
  <c r="P20" i="3"/>
  <c r="O20" i="3" s="1"/>
  <c r="P21" i="3"/>
  <c r="O21" i="3" s="1"/>
  <c r="P22" i="3"/>
  <c r="O22" i="3" s="1"/>
  <c r="P23" i="3"/>
  <c r="O23" i="3" s="1"/>
  <c r="P24" i="3"/>
  <c r="O24" i="3" s="1"/>
  <c r="P25" i="3"/>
  <c r="O25" i="3" s="1"/>
  <c r="P26" i="3"/>
  <c r="O26" i="3" s="1"/>
  <c r="P27" i="3"/>
  <c r="O27" i="3" s="1"/>
  <c r="P28" i="3"/>
  <c r="O28" i="3" s="1"/>
  <c r="P29" i="3"/>
  <c r="O29" i="3" s="1"/>
  <c r="P30" i="3"/>
  <c r="O30" i="3" s="1"/>
  <c r="P31" i="3"/>
  <c r="O31" i="3" s="1"/>
  <c r="P32" i="3"/>
  <c r="O32" i="3" s="1"/>
  <c r="P33" i="3"/>
  <c r="O33" i="3" s="1"/>
  <c r="P34" i="3"/>
  <c r="O34" i="3" s="1"/>
  <c r="P35" i="3"/>
  <c r="O35" i="3" s="1"/>
  <c r="P36" i="3"/>
  <c r="O36" i="3" s="1"/>
  <c r="P37" i="3"/>
  <c r="O37" i="3" s="1"/>
  <c r="P38" i="3"/>
  <c r="O38" i="3" s="1"/>
  <c r="P39" i="3"/>
  <c r="O39" i="3" s="1"/>
  <c r="P40" i="3"/>
  <c r="O40" i="3" s="1"/>
  <c r="P41" i="3"/>
  <c r="O41" i="3" s="1"/>
  <c r="P42" i="3"/>
  <c r="O42" i="3" s="1"/>
  <c r="P43" i="3"/>
  <c r="O43" i="3" s="1"/>
  <c r="P44" i="3"/>
  <c r="O44" i="3" s="1"/>
  <c r="P45" i="3"/>
  <c r="O45" i="3" s="1"/>
  <c r="P46" i="3"/>
  <c r="O46" i="3" s="1"/>
  <c r="P47" i="3"/>
  <c r="O47" i="3" s="1"/>
  <c r="P48" i="3"/>
  <c r="O48" i="3" s="1"/>
  <c r="P49" i="3"/>
  <c r="O49" i="3" s="1"/>
  <c r="P50" i="3"/>
  <c r="O50" i="3" s="1"/>
  <c r="P51" i="3"/>
  <c r="O51" i="3" s="1"/>
  <c r="P52" i="3"/>
  <c r="O52" i="3" s="1"/>
  <c r="P53" i="3"/>
  <c r="O53" i="3" s="1"/>
  <c r="P54" i="3"/>
  <c r="O54" i="3" s="1"/>
  <c r="P55" i="3"/>
  <c r="O55" i="3" s="1"/>
  <c r="P56" i="3"/>
  <c r="O56" i="3" s="1"/>
  <c r="P57" i="3"/>
  <c r="O57" i="3" s="1"/>
  <c r="P58" i="3"/>
  <c r="O58" i="3" s="1"/>
  <c r="P59" i="3"/>
  <c r="O59" i="3" s="1"/>
  <c r="P60" i="3"/>
  <c r="O60" i="3" s="1"/>
  <c r="P61" i="3"/>
  <c r="O61" i="3" s="1"/>
  <c r="P62" i="3"/>
  <c r="O62" i="3" s="1"/>
  <c r="P63" i="3"/>
  <c r="O63" i="3" s="1"/>
  <c r="P64" i="3"/>
  <c r="O64" i="3" s="1"/>
  <c r="P65" i="3"/>
  <c r="O65" i="3" s="1"/>
  <c r="P66" i="3"/>
  <c r="O66" i="3" s="1"/>
  <c r="P67" i="3"/>
  <c r="O67" i="3" s="1"/>
  <c r="P68" i="3"/>
  <c r="O68" i="3" s="1"/>
  <c r="P69" i="3"/>
  <c r="P70" i="3"/>
  <c r="O70" i="3" s="1"/>
  <c r="P71" i="3"/>
  <c r="O71" i="3" s="1"/>
  <c r="P72" i="3"/>
  <c r="O72" i="3" s="1"/>
  <c r="P73" i="3"/>
  <c r="O73" i="3" s="1"/>
  <c r="P74" i="3"/>
  <c r="O74" i="3" s="1"/>
  <c r="P75" i="3"/>
  <c r="O75" i="3" s="1"/>
  <c r="P76" i="3"/>
  <c r="O76" i="3" s="1"/>
  <c r="P77" i="3"/>
  <c r="O77" i="3" s="1"/>
  <c r="P78" i="3"/>
  <c r="O78" i="3" s="1"/>
  <c r="P79" i="3"/>
  <c r="O79" i="3" s="1"/>
  <c r="P80" i="3"/>
  <c r="O80" i="3" s="1"/>
  <c r="P81" i="3"/>
  <c r="O81" i="3" s="1"/>
  <c r="P82" i="3"/>
  <c r="O82" i="3" s="1"/>
  <c r="P83" i="3"/>
  <c r="O83" i="3" s="1"/>
  <c r="P84" i="3"/>
  <c r="O84" i="3" s="1"/>
  <c r="P85" i="3"/>
  <c r="O85" i="3" s="1"/>
  <c r="P86" i="3"/>
  <c r="O86" i="3" s="1"/>
  <c r="P87" i="3"/>
  <c r="O87" i="3" s="1"/>
  <c r="P88" i="3"/>
  <c r="O88" i="3" s="1"/>
  <c r="P89" i="3"/>
  <c r="O89" i="3" s="1"/>
  <c r="P90" i="3"/>
  <c r="O90" i="3" s="1"/>
  <c r="P91" i="3"/>
  <c r="O91" i="3" s="1"/>
  <c r="P92" i="3"/>
  <c r="O92" i="3" s="1"/>
  <c r="P93" i="3"/>
  <c r="O93" i="3" s="1"/>
  <c r="P94" i="3"/>
  <c r="O94" i="3" s="1"/>
  <c r="P95" i="3"/>
  <c r="O95" i="3" s="1"/>
  <c r="P96" i="3"/>
  <c r="O96" i="3" s="1"/>
  <c r="P97" i="3"/>
  <c r="O97" i="3" s="1"/>
  <c r="P98" i="3"/>
  <c r="O98" i="3" s="1"/>
  <c r="P99" i="3"/>
  <c r="O99" i="3" s="1"/>
  <c r="P100" i="3"/>
  <c r="O100" i="3" s="1"/>
  <c r="P101" i="3"/>
  <c r="O101" i="3" s="1"/>
  <c r="P102" i="3"/>
  <c r="O102" i="3" s="1"/>
  <c r="P103" i="3"/>
  <c r="O103" i="3" s="1"/>
  <c r="P104" i="3"/>
  <c r="O104" i="3" s="1"/>
  <c r="P105" i="3"/>
  <c r="O105" i="3" s="1"/>
  <c r="P106" i="3"/>
  <c r="O106" i="3" s="1"/>
  <c r="P107" i="3"/>
  <c r="O107" i="3" s="1"/>
  <c r="P108" i="3"/>
  <c r="O108" i="3" s="1"/>
  <c r="P109" i="3"/>
  <c r="O109" i="3" s="1"/>
  <c r="P110" i="3"/>
  <c r="O110" i="3" s="1"/>
  <c r="P111" i="3"/>
  <c r="O111" i="3" s="1"/>
  <c r="P112" i="3"/>
  <c r="O112" i="3" s="1"/>
  <c r="P113" i="3"/>
  <c r="O113" i="3" s="1"/>
  <c r="P114" i="3"/>
  <c r="O114" i="3" s="1"/>
  <c r="P115" i="3"/>
  <c r="O115" i="3" s="1"/>
  <c r="P116" i="3"/>
  <c r="O116" i="3" s="1"/>
  <c r="P117" i="3"/>
  <c r="O117" i="3" s="1"/>
  <c r="P118" i="3"/>
  <c r="O118" i="3" s="1"/>
  <c r="P119" i="3"/>
  <c r="O119" i="3" s="1"/>
  <c r="P120" i="3"/>
  <c r="O120" i="3" s="1"/>
  <c r="P121" i="3"/>
  <c r="O121" i="3" s="1"/>
  <c r="P122" i="3"/>
  <c r="O122" i="3" s="1"/>
  <c r="P123" i="3"/>
  <c r="O123" i="3" s="1"/>
  <c r="P124" i="3"/>
  <c r="O124" i="3" s="1"/>
  <c r="P125" i="3"/>
  <c r="O125" i="3" s="1"/>
  <c r="P126" i="3"/>
  <c r="O126" i="3" s="1"/>
  <c r="P127" i="3"/>
  <c r="O127" i="3" s="1"/>
  <c r="P128" i="3"/>
  <c r="O128" i="3" s="1"/>
  <c r="P129" i="3"/>
  <c r="O129" i="3" s="1"/>
  <c r="P130" i="3"/>
  <c r="O130" i="3" s="1"/>
  <c r="P131" i="3"/>
  <c r="O131" i="3" s="1"/>
  <c r="P132" i="3"/>
  <c r="O132" i="3" s="1"/>
  <c r="P133" i="3"/>
  <c r="P134" i="3"/>
  <c r="O134" i="3" s="1"/>
  <c r="P135" i="3"/>
  <c r="O135" i="3" s="1"/>
  <c r="P136" i="3"/>
  <c r="O136" i="3" s="1"/>
  <c r="P137" i="3"/>
  <c r="O137" i="3" s="1"/>
  <c r="P138" i="3"/>
  <c r="O138" i="3" s="1"/>
  <c r="P139" i="3"/>
  <c r="O139" i="3" s="1"/>
  <c r="P140" i="3"/>
  <c r="O140" i="3" s="1"/>
  <c r="P141" i="3"/>
  <c r="O141" i="3" s="1"/>
  <c r="P142" i="3"/>
  <c r="O142" i="3" s="1"/>
  <c r="P143" i="3"/>
  <c r="O143" i="3" s="1"/>
  <c r="P144" i="3"/>
  <c r="O144" i="3" s="1"/>
  <c r="P145" i="3"/>
  <c r="O145" i="3" s="1"/>
  <c r="P146" i="3"/>
  <c r="O146" i="3" s="1"/>
  <c r="P147" i="3"/>
  <c r="O147" i="3" s="1"/>
  <c r="P148" i="3"/>
  <c r="O148" i="3" s="1"/>
  <c r="P149" i="3"/>
  <c r="O149" i="3" s="1"/>
  <c r="P150" i="3"/>
  <c r="O150" i="3" s="1"/>
  <c r="P151" i="3"/>
  <c r="O151" i="3" s="1"/>
  <c r="P152" i="3"/>
  <c r="O152" i="3" s="1"/>
  <c r="P153" i="3"/>
  <c r="O153" i="3" s="1"/>
  <c r="P154" i="3"/>
  <c r="O154" i="3" s="1"/>
  <c r="P155" i="3"/>
  <c r="O155" i="3" s="1"/>
  <c r="P156" i="3"/>
  <c r="O156" i="3" s="1"/>
  <c r="P157" i="3"/>
  <c r="O157" i="3" s="1"/>
  <c r="P158" i="3"/>
  <c r="O158" i="3" s="1"/>
  <c r="P159" i="3"/>
  <c r="O159" i="3" s="1"/>
  <c r="P160" i="3"/>
  <c r="O160" i="3" s="1"/>
  <c r="P161" i="3"/>
  <c r="O161" i="3" s="1"/>
  <c r="P162" i="3"/>
  <c r="O162" i="3" s="1"/>
  <c r="P163" i="3"/>
  <c r="O163" i="3" s="1"/>
  <c r="P164" i="3"/>
  <c r="O164" i="3" s="1"/>
  <c r="P165" i="3"/>
  <c r="O165" i="3" s="1"/>
  <c r="P166" i="3"/>
  <c r="O166" i="3" s="1"/>
  <c r="P167" i="3"/>
  <c r="P168" i="3"/>
  <c r="O168" i="3" s="1"/>
  <c r="P169" i="3"/>
  <c r="O169" i="3" s="1"/>
  <c r="P170" i="3"/>
  <c r="O170" i="3" s="1"/>
  <c r="P171" i="3"/>
  <c r="O171" i="3" s="1"/>
  <c r="P172" i="3"/>
  <c r="O172" i="3" s="1"/>
  <c r="P173" i="3"/>
  <c r="O173" i="3" s="1"/>
  <c r="P174" i="3"/>
  <c r="O174" i="3" s="1"/>
  <c r="P175" i="3"/>
  <c r="O175" i="3" s="1"/>
  <c r="P176" i="3"/>
  <c r="O176" i="3" s="1"/>
  <c r="P177" i="3"/>
  <c r="O177" i="3" s="1"/>
  <c r="P178" i="3"/>
  <c r="O178" i="3" s="1"/>
  <c r="P179" i="3"/>
  <c r="O179" i="3" s="1"/>
  <c r="P180" i="3"/>
  <c r="O180" i="3" s="1"/>
  <c r="P181" i="3"/>
  <c r="O181" i="3" s="1"/>
  <c r="P182" i="3"/>
  <c r="O182" i="3" s="1"/>
  <c r="P183" i="3"/>
  <c r="O183" i="3" s="1"/>
  <c r="P184" i="3"/>
  <c r="O184" i="3" s="1"/>
  <c r="P185" i="3"/>
  <c r="O185" i="3" s="1"/>
  <c r="P186" i="3"/>
  <c r="O186" i="3" s="1"/>
  <c r="P187" i="3"/>
  <c r="O187" i="3" s="1"/>
  <c r="P188" i="3"/>
  <c r="O188" i="3" s="1"/>
  <c r="P189" i="3"/>
  <c r="P190" i="3"/>
  <c r="O190" i="3" s="1"/>
  <c r="P191" i="3"/>
  <c r="O191" i="3" s="1"/>
  <c r="P192" i="3"/>
  <c r="O192" i="3" s="1"/>
  <c r="P193" i="3"/>
  <c r="O193" i="3" s="1"/>
  <c r="P194" i="3"/>
  <c r="O194" i="3" s="1"/>
  <c r="P195" i="3"/>
  <c r="O195" i="3" s="1"/>
  <c r="P196" i="3"/>
  <c r="O196" i="3" s="1"/>
  <c r="P197" i="3"/>
  <c r="O197" i="3" s="1"/>
  <c r="P198" i="3"/>
  <c r="O198" i="3" s="1"/>
  <c r="P199" i="3"/>
  <c r="O199" i="3" s="1"/>
  <c r="P200" i="3"/>
  <c r="O200" i="3" s="1"/>
  <c r="P201" i="3"/>
  <c r="O201" i="3" s="1"/>
  <c r="P202" i="3"/>
  <c r="O202" i="3" s="1"/>
  <c r="P203" i="3"/>
  <c r="O203" i="3" s="1"/>
  <c r="P204" i="3"/>
  <c r="O204" i="3" s="1"/>
  <c r="P205" i="3"/>
  <c r="O205" i="3" s="1"/>
  <c r="P206" i="3"/>
  <c r="O206" i="3" s="1"/>
  <c r="P207" i="3"/>
  <c r="O207" i="3" s="1"/>
  <c r="P208" i="3"/>
  <c r="O208" i="3" s="1"/>
  <c r="P209" i="3"/>
  <c r="O209" i="3" s="1"/>
  <c r="P210" i="3"/>
  <c r="P211" i="3"/>
  <c r="O211" i="3" s="1"/>
  <c r="P212" i="3"/>
  <c r="O212" i="3" s="1"/>
  <c r="P213" i="3"/>
  <c r="O213" i="3" s="1"/>
  <c r="P214" i="3"/>
  <c r="O214" i="3" s="1"/>
  <c r="P215" i="3"/>
  <c r="O215" i="3" s="1"/>
  <c r="P216" i="3"/>
  <c r="O216" i="3" s="1"/>
  <c r="P217" i="3"/>
  <c r="O217" i="3" s="1"/>
  <c r="P218" i="3"/>
  <c r="O218" i="3" s="1"/>
  <c r="P219" i="3"/>
  <c r="O219" i="3" s="1"/>
  <c r="P220" i="3"/>
  <c r="O220" i="3" s="1"/>
  <c r="P221" i="3"/>
  <c r="O221" i="3" s="1"/>
  <c r="P222" i="3"/>
  <c r="O222" i="3" s="1"/>
  <c r="P223" i="3"/>
  <c r="O223" i="3" s="1"/>
  <c r="P224" i="3"/>
  <c r="O224" i="3" s="1"/>
  <c r="P225" i="3"/>
  <c r="O225" i="3" s="1"/>
  <c r="P226" i="3"/>
  <c r="O226" i="3" s="1"/>
  <c r="P227" i="3"/>
  <c r="O227" i="3" s="1"/>
  <c r="P228" i="3"/>
  <c r="O228" i="3" s="1"/>
  <c r="P229" i="3"/>
  <c r="O229" i="3" s="1"/>
  <c r="P230" i="3"/>
  <c r="O230" i="3" s="1"/>
  <c r="P231" i="3"/>
  <c r="P232" i="3"/>
  <c r="O232" i="3" s="1"/>
  <c r="P233" i="3"/>
  <c r="O233" i="3" s="1"/>
  <c r="P234" i="3"/>
  <c r="O234" i="3" s="1"/>
  <c r="P235" i="3"/>
  <c r="O235" i="3" s="1"/>
  <c r="P236" i="3"/>
  <c r="O236" i="3" s="1"/>
  <c r="P237" i="3"/>
  <c r="O237" i="3" s="1"/>
  <c r="P238" i="3"/>
  <c r="O238" i="3" s="1"/>
  <c r="P239" i="3"/>
  <c r="O239" i="3" s="1"/>
  <c r="P240" i="3"/>
  <c r="O240" i="3" s="1"/>
  <c r="P241" i="3"/>
  <c r="O241" i="3" s="1"/>
  <c r="P242" i="3"/>
  <c r="O242" i="3" s="1"/>
  <c r="P243" i="3"/>
  <c r="O243" i="3" s="1"/>
  <c r="P244" i="3"/>
  <c r="O244" i="3" s="1"/>
  <c r="P245" i="3"/>
  <c r="O245" i="3" s="1"/>
  <c r="P246" i="3"/>
  <c r="O246" i="3" s="1"/>
  <c r="P247" i="3"/>
  <c r="O247" i="3" s="1"/>
  <c r="P248" i="3"/>
  <c r="O248" i="3" s="1"/>
  <c r="P249" i="3"/>
  <c r="O249" i="3" s="1"/>
  <c r="P250" i="3"/>
  <c r="O250" i="3" s="1"/>
  <c r="P251" i="3"/>
  <c r="O251" i="3" s="1"/>
  <c r="P252" i="3"/>
  <c r="O252" i="3" s="1"/>
  <c r="P253" i="3"/>
  <c r="P254" i="3"/>
  <c r="O254" i="3" s="1"/>
  <c r="P255" i="3"/>
  <c r="O255" i="3" s="1"/>
  <c r="P256" i="3"/>
  <c r="O256" i="3" s="1"/>
  <c r="P257" i="3"/>
  <c r="O257" i="3" s="1"/>
  <c r="P258" i="3"/>
  <c r="O258" i="3" s="1"/>
  <c r="P259" i="3"/>
  <c r="O259" i="3" s="1"/>
  <c r="P260" i="3"/>
  <c r="O260" i="3" s="1"/>
  <c r="P261" i="3"/>
  <c r="O261" i="3" s="1"/>
  <c r="P262" i="3"/>
  <c r="O262" i="3" s="1"/>
  <c r="P263" i="3"/>
  <c r="O263" i="3" s="1"/>
  <c r="P264" i="3"/>
  <c r="O264" i="3" s="1"/>
  <c r="P265" i="3"/>
  <c r="O265" i="3" s="1"/>
  <c r="P266" i="3"/>
  <c r="O266" i="3" s="1"/>
  <c r="P267" i="3"/>
  <c r="O267" i="3" s="1"/>
  <c r="P268" i="3"/>
  <c r="O268" i="3" s="1"/>
  <c r="P269" i="3"/>
  <c r="O269" i="3" s="1"/>
  <c r="P270" i="3"/>
  <c r="O270" i="3" s="1"/>
  <c r="P271" i="3"/>
  <c r="O271" i="3" s="1"/>
  <c r="P272" i="3"/>
  <c r="O272" i="3" s="1"/>
  <c r="P273" i="3"/>
  <c r="O273" i="3" s="1"/>
  <c r="P274" i="3"/>
  <c r="P275" i="3"/>
  <c r="O275" i="3" s="1"/>
  <c r="P276" i="3"/>
  <c r="O276" i="3" s="1"/>
  <c r="P277" i="3"/>
  <c r="O277" i="3" s="1"/>
  <c r="P278" i="3"/>
  <c r="O278" i="3" s="1"/>
  <c r="P279" i="3"/>
  <c r="O279" i="3" s="1"/>
  <c r="P280" i="3"/>
  <c r="O280" i="3" s="1"/>
  <c r="P281" i="3"/>
  <c r="O281" i="3" s="1"/>
  <c r="P282" i="3"/>
  <c r="O282" i="3" s="1"/>
  <c r="P283" i="3"/>
  <c r="O283" i="3" s="1"/>
  <c r="P284" i="3"/>
  <c r="O284" i="3" s="1"/>
  <c r="P285" i="3"/>
  <c r="O285" i="3" s="1"/>
  <c r="P286" i="3"/>
  <c r="O286" i="3" s="1"/>
  <c r="P287" i="3"/>
  <c r="O287" i="3" s="1"/>
  <c r="P288" i="3"/>
  <c r="O288" i="3" s="1"/>
  <c r="P289" i="3"/>
  <c r="O289" i="3" s="1"/>
  <c r="P290" i="3"/>
  <c r="O290" i="3" s="1"/>
  <c r="P291" i="3"/>
  <c r="O291" i="3" s="1"/>
  <c r="P292" i="3"/>
  <c r="O292" i="3" s="1"/>
  <c r="P293" i="3"/>
  <c r="O293" i="3" s="1"/>
  <c r="P294" i="3"/>
  <c r="O294" i="3" s="1"/>
  <c r="P295" i="3"/>
  <c r="P296" i="3"/>
  <c r="O296" i="3" s="1"/>
  <c r="P297" i="3"/>
  <c r="O297" i="3" s="1"/>
  <c r="P298" i="3"/>
  <c r="O298" i="3" s="1"/>
  <c r="P299" i="3"/>
  <c r="O299" i="3" s="1"/>
  <c r="P300" i="3"/>
  <c r="O300" i="3" s="1"/>
  <c r="P301" i="3"/>
  <c r="O301" i="3" s="1"/>
  <c r="P302" i="3"/>
  <c r="O302" i="3" s="1"/>
  <c r="P303" i="3"/>
  <c r="O303" i="3" s="1"/>
  <c r="P304" i="3"/>
  <c r="O304" i="3" s="1"/>
  <c r="P305" i="3"/>
  <c r="O305" i="3" s="1"/>
  <c r="P306" i="3"/>
  <c r="O306" i="3" s="1"/>
  <c r="P307" i="3"/>
  <c r="O307" i="3" s="1"/>
  <c r="P308" i="3"/>
  <c r="O308" i="3" s="1"/>
  <c r="P309" i="3"/>
  <c r="O309" i="3" s="1"/>
  <c r="P310" i="3"/>
  <c r="O310" i="3" s="1"/>
  <c r="P311" i="3"/>
  <c r="O311" i="3" s="1"/>
  <c r="P312" i="3"/>
  <c r="O312" i="3" s="1"/>
  <c r="P313" i="3"/>
  <c r="O313" i="3" s="1"/>
  <c r="P314" i="3"/>
  <c r="O314" i="3" s="1"/>
  <c r="P315" i="3"/>
  <c r="O315" i="3" s="1"/>
  <c r="P316" i="3"/>
  <c r="O316" i="3" s="1"/>
  <c r="P317" i="3"/>
  <c r="P318" i="3"/>
  <c r="O318" i="3" s="1"/>
  <c r="P319" i="3"/>
  <c r="O319" i="3" s="1"/>
  <c r="P320" i="3"/>
  <c r="O320" i="3" s="1"/>
  <c r="P321" i="3"/>
  <c r="O321" i="3" s="1"/>
  <c r="P322" i="3"/>
  <c r="O322" i="3" s="1"/>
  <c r="P323" i="3"/>
  <c r="O323" i="3" s="1"/>
  <c r="P324" i="3"/>
  <c r="O324" i="3" s="1"/>
  <c r="P325" i="3"/>
  <c r="O325" i="3" s="1"/>
  <c r="P326" i="3"/>
  <c r="O326" i="3" s="1"/>
  <c r="P327" i="3"/>
  <c r="O327" i="3" s="1"/>
  <c r="P328" i="3"/>
  <c r="O328" i="3" s="1"/>
  <c r="P329" i="3"/>
  <c r="O329" i="3" s="1"/>
  <c r="P330" i="3"/>
  <c r="O330" i="3" s="1"/>
  <c r="P331" i="3"/>
  <c r="O331" i="3" s="1"/>
  <c r="P332" i="3"/>
  <c r="O332" i="3" s="1"/>
  <c r="P333" i="3"/>
  <c r="O333" i="3" s="1"/>
  <c r="P334" i="3"/>
  <c r="O334" i="3" s="1"/>
  <c r="P335" i="3"/>
  <c r="O335" i="3" s="1"/>
  <c r="P336" i="3"/>
  <c r="O336" i="3" s="1"/>
  <c r="P337" i="3"/>
  <c r="O337" i="3" s="1"/>
  <c r="P338" i="3"/>
  <c r="P339" i="3"/>
  <c r="O339" i="3" s="1"/>
  <c r="P340" i="3"/>
  <c r="O340" i="3" s="1"/>
  <c r="P341" i="3"/>
  <c r="O341" i="3" s="1"/>
  <c r="P342" i="3"/>
  <c r="O342" i="3" s="1"/>
  <c r="P343" i="3"/>
  <c r="O343" i="3" s="1"/>
  <c r="P344" i="3"/>
  <c r="O344" i="3" s="1"/>
  <c r="P345" i="3"/>
  <c r="O345" i="3" s="1"/>
  <c r="P346" i="3"/>
  <c r="O346" i="3" s="1"/>
  <c r="P347" i="3"/>
  <c r="O347" i="3" s="1"/>
  <c r="P348" i="3"/>
  <c r="O348" i="3" s="1"/>
  <c r="P349" i="3"/>
  <c r="O349" i="3" s="1"/>
  <c r="P350" i="3"/>
  <c r="O350" i="3" s="1"/>
  <c r="P351" i="3"/>
  <c r="O351" i="3" s="1"/>
  <c r="P352" i="3"/>
  <c r="O352" i="3" s="1"/>
  <c r="P353" i="3"/>
  <c r="O353" i="3" s="1"/>
  <c r="P354" i="3"/>
  <c r="O354" i="3" s="1"/>
  <c r="P355" i="3"/>
  <c r="O355" i="3" s="1"/>
  <c r="P356" i="3"/>
  <c r="O356" i="3" s="1"/>
  <c r="P357" i="3"/>
  <c r="O357" i="3" s="1"/>
  <c r="P358" i="3"/>
  <c r="O358" i="3" s="1"/>
  <c r="P359" i="3"/>
  <c r="P360" i="3"/>
  <c r="O360" i="3" s="1"/>
  <c r="P361" i="3"/>
  <c r="O361" i="3" s="1"/>
  <c r="P362" i="3"/>
  <c r="O362" i="3" s="1"/>
  <c r="P363" i="3"/>
  <c r="O363" i="3" s="1"/>
  <c r="P364" i="3"/>
  <c r="O364" i="3" s="1"/>
  <c r="P365" i="3"/>
  <c r="O365" i="3" s="1"/>
  <c r="P366" i="3"/>
  <c r="O366" i="3" s="1"/>
  <c r="P367" i="3"/>
  <c r="O367" i="3" s="1"/>
  <c r="P368" i="3"/>
  <c r="O368" i="3" s="1"/>
  <c r="P369" i="3"/>
  <c r="O369" i="3" s="1"/>
  <c r="P370" i="3"/>
  <c r="O370" i="3" s="1"/>
  <c r="P371" i="3"/>
  <c r="O371" i="3" s="1"/>
  <c r="P372" i="3"/>
  <c r="O372" i="3" s="1"/>
  <c r="P373" i="3"/>
  <c r="O373" i="3" s="1"/>
  <c r="P374" i="3"/>
  <c r="O374" i="3" s="1"/>
  <c r="P375" i="3"/>
  <c r="O375" i="3" s="1"/>
  <c r="P376" i="3"/>
  <c r="O376" i="3" s="1"/>
  <c r="P377" i="3"/>
  <c r="O377" i="3" s="1"/>
  <c r="P378" i="3"/>
  <c r="P379" i="3"/>
  <c r="O379" i="3" s="1"/>
  <c r="P380" i="3"/>
  <c r="O380" i="3" s="1"/>
  <c r="P381" i="3"/>
  <c r="O381" i="3" s="1"/>
  <c r="P382" i="3"/>
  <c r="O382" i="3" s="1"/>
  <c r="P383" i="3"/>
  <c r="O383" i="3" s="1"/>
  <c r="P384" i="3"/>
  <c r="O384" i="3" s="1"/>
  <c r="P385" i="3"/>
  <c r="O385" i="3" s="1"/>
  <c r="P386" i="3"/>
  <c r="O386" i="3" s="1"/>
  <c r="P387" i="3"/>
  <c r="O387" i="3" s="1"/>
  <c r="P388" i="3"/>
  <c r="O388" i="3" s="1"/>
  <c r="P389" i="3"/>
  <c r="O389" i="3" s="1"/>
  <c r="P390" i="3"/>
  <c r="O390" i="3" s="1"/>
  <c r="P391" i="3"/>
  <c r="O391" i="3" s="1"/>
  <c r="P392" i="3"/>
  <c r="O392" i="3" s="1"/>
  <c r="P393" i="3"/>
  <c r="O393" i="3" s="1"/>
  <c r="P394" i="3"/>
  <c r="P395" i="3"/>
  <c r="O395" i="3" s="1"/>
  <c r="P396" i="3"/>
  <c r="O396" i="3" s="1"/>
  <c r="P397" i="3"/>
  <c r="O397" i="3" s="1"/>
  <c r="P398" i="3"/>
  <c r="O398" i="3" s="1"/>
  <c r="P399" i="3"/>
  <c r="O399" i="3" s="1"/>
  <c r="P400" i="3"/>
  <c r="O400" i="3" s="1"/>
  <c r="P401" i="3"/>
  <c r="O401" i="3" s="1"/>
  <c r="P402" i="3"/>
  <c r="O402" i="3" s="1"/>
  <c r="P403" i="3"/>
  <c r="O403" i="3" s="1"/>
  <c r="P404" i="3"/>
  <c r="O404" i="3" s="1"/>
  <c r="P405" i="3"/>
  <c r="O405" i="3" s="1"/>
  <c r="P406" i="3"/>
  <c r="O406" i="3" s="1"/>
  <c r="P407" i="3"/>
  <c r="O407" i="3" s="1"/>
  <c r="P408" i="3"/>
  <c r="O408" i="3" s="1"/>
  <c r="P409" i="3"/>
  <c r="O409" i="3" s="1"/>
  <c r="P410" i="3"/>
  <c r="P411" i="3"/>
  <c r="O411" i="3" s="1"/>
  <c r="P412" i="3"/>
  <c r="O412" i="3" s="1"/>
  <c r="P413" i="3"/>
  <c r="O413" i="3" s="1"/>
  <c r="P414" i="3"/>
  <c r="O414" i="3" s="1"/>
  <c r="P415" i="3"/>
  <c r="O415" i="3" s="1"/>
  <c r="P416" i="3"/>
  <c r="O416" i="3" s="1"/>
  <c r="P417" i="3"/>
  <c r="O417" i="3" s="1"/>
  <c r="P418" i="3"/>
  <c r="O418" i="3" s="1"/>
  <c r="P419" i="3"/>
  <c r="O419" i="3" s="1"/>
  <c r="P420" i="3"/>
  <c r="O420" i="3" s="1"/>
  <c r="P421" i="3"/>
  <c r="O421" i="3" s="1"/>
  <c r="P422" i="3"/>
  <c r="O422" i="3" s="1"/>
  <c r="P423" i="3"/>
  <c r="O423" i="3" s="1"/>
  <c r="P424" i="3"/>
  <c r="O424" i="3" s="1"/>
  <c r="P425" i="3"/>
  <c r="O425" i="3" s="1"/>
  <c r="P426" i="3"/>
  <c r="P427" i="3"/>
  <c r="O427" i="3" s="1"/>
  <c r="P428" i="3"/>
  <c r="O428" i="3" s="1"/>
  <c r="P429" i="3"/>
  <c r="O429" i="3" s="1"/>
  <c r="P430" i="3"/>
  <c r="O430" i="3" s="1"/>
  <c r="P431" i="3"/>
  <c r="O431" i="3" s="1"/>
  <c r="P432" i="3"/>
  <c r="O432" i="3" s="1"/>
  <c r="P433" i="3"/>
  <c r="O433" i="3" s="1"/>
  <c r="P434" i="3"/>
  <c r="O434" i="3" s="1"/>
  <c r="P435" i="3"/>
  <c r="O435" i="3" s="1"/>
  <c r="P436" i="3"/>
  <c r="O436" i="3" s="1"/>
  <c r="P437" i="3"/>
  <c r="O437" i="3" s="1"/>
  <c r="P438" i="3"/>
  <c r="O438" i="3" s="1"/>
  <c r="P439" i="3"/>
  <c r="O439" i="3" s="1"/>
  <c r="P440" i="3"/>
  <c r="O440" i="3" s="1"/>
  <c r="P441" i="3"/>
  <c r="O441" i="3" s="1"/>
  <c r="P442" i="3"/>
  <c r="P443" i="3"/>
  <c r="O443" i="3" s="1"/>
  <c r="P444" i="3"/>
  <c r="O444" i="3" s="1"/>
  <c r="P445" i="3"/>
  <c r="O445" i="3" s="1"/>
  <c r="P446" i="3"/>
  <c r="O446" i="3" s="1"/>
  <c r="P447" i="3"/>
  <c r="O447" i="3" s="1"/>
  <c r="P448" i="3"/>
  <c r="O448" i="3" s="1"/>
  <c r="P449" i="3"/>
  <c r="O449" i="3" s="1"/>
  <c r="P450" i="3"/>
  <c r="O450" i="3" s="1"/>
  <c r="P451" i="3"/>
  <c r="O451" i="3" s="1"/>
  <c r="P452" i="3"/>
  <c r="O452" i="3" s="1"/>
  <c r="P453" i="3"/>
  <c r="O453" i="3" s="1"/>
  <c r="P454" i="3"/>
  <c r="O454" i="3" s="1"/>
  <c r="P455" i="3"/>
  <c r="O455" i="3" s="1"/>
  <c r="P456" i="3"/>
  <c r="O456" i="3" s="1"/>
  <c r="P457" i="3"/>
  <c r="O457" i="3" s="1"/>
  <c r="P458" i="3"/>
  <c r="P459" i="3"/>
  <c r="O459" i="3" s="1"/>
  <c r="P460" i="3"/>
  <c r="O460" i="3" s="1"/>
  <c r="P461" i="3"/>
  <c r="O461" i="3" s="1"/>
  <c r="P462" i="3"/>
  <c r="O462" i="3" s="1"/>
  <c r="P463" i="3"/>
  <c r="O463" i="3" s="1"/>
  <c r="P464" i="3"/>
  <c r="O464" i="3" s="1"/>
  <c r="P465" i="3"/>
  <c r="O465" i="3" s="1"/>
  <c r="P466" i="3"/>
  <c r="O466" i="3" s="1"/>
  <c r="P467" i="3"/>
  <c r="O467" i="3" s="1"/>
  <c r="P468" i="3"/>
  <c r="O468" i="3" s="1"/>
  <c r="P469" i="3"/>
  <c r="O469" i="3" s="1"/>
  <c r="P470" i="3"/>
  <c r="O470" i="3" s="1"/>
  <c r="P471" i="3"/>
  <c r="O471" i="3" s="1"/>
  <c r="P472" i="3"/>
  <c r="O472" i="3" s="1"/>
  <c r="P473" i="3"/>
  <c r="O473" i="3" s="1"/>
  <c r="P474" i="3"/>
  <c r="P475" i="3"/>
  <c r="O475" i="3" s="1"/>
  <c r="P476" i="3"/>
  <c r="O476" i="3" s="1"/>
  <c r="P477" i="3"/>
  <c r="O477" i="3" s="1"/>
  <c r="P478" i="3"/>
  <c r="O478" i="3" s="1"/>
  <c r="P479" i="3"/>
  <c r="O479" i="3" s="1"/>
  <c r="P480" i="3"/>
  <c r="O480" i="3" s="1"/>
  <c r="P481" i="3"/>
  <c r="O481" i="3" s="1"/>
  <c r="P482" i="3"/>
  <c r="O482" i="3" s="1"/>
  <c r="P483" i="3"/>
  <c r="O483" i="3" s="1"/>
  <c r="P484" i="3"/>
  <c r="O484" i="3" s="1"/>
  <c r="P485" i="3"/>
  <c r="O485" i="3" s="1"/>
  <c r="P486" i="3"/>
  <c r="O486" i="3" s="1"/>
  <c r="P487" i="3"/>
  <c r="O487" i="3" s="1"/>
  <c r="P488" i="3"/>
  <c r="O488" i="3" s="1"/>
  <c r="P489" i="3"/>
  <c r="O489" i="3" s="1"/>
  <c r="P490" i="3"/>
  <c r="P491" i="3"/>
  <c r="O491" i="3" s="1"/>
  <c r="P492" i="3"/>
  <c r="O492" i="3" s="1"/>
  <c r="P493" i="3"/>
  <c r="O493" i="3" s="1"/>
  <c r="P494" i="3"/>
  <c r="O494" i="3" s="1"/>
  <c r="P495" i="3"/>
  <c r="O495" i="3" s="1"/>
  <c r="P496" i="3"/>
  <c r="O496" i="3" s="1"/>
  <c r="P497" i="3"/>
  <c r="O497" i="3" s="1"/>
  <c r="P498" i="3"/>
  <c r="O498" i="3" s="1"/>
  <c r="P499" i="3"/>
  <c r="O499" i="3" s="1"/>
  <c r="P500" i="3"/>
  <c r="O500" i="3" s="1"/>
  <c r="P501" i="3"/>
  <c r="O501" i="3" s="1"/>
  <c r="P502" i="3"/>
  <c r="O502" i="3" s="1"/>
  <c r="P503" i="3"/>
  <c r="O503" i="3" s="1"/>
  <c r="P504" i="3"/>
  <c r="O504" i="3" s="1"/>
  <c r="P505" i="3"/>
  <c r="O505" i="3" s="1"/>
  <c r="P506" i="3"/>
  <c r="P507" i="3"/>
  <c r="O507" i="3" s="1"/>
  <c r="P508" i="3"/>
  <c r="O508" i="3" s="1"/>
  <c r="P509" i="3"/>
  <c r="O509" i="3" s="1"/>
  <c r="P510" i="3"/>
  <c r="O510" i="3" s="1"/>
  <c r="P511" i="3"/>
  <c r="O511" i="3" s="1"/>
  <c r="P512" i="3"/>
  <c r="O512" i="3" s="1"/>
  <c r="P513" i="3"/>
  <c r="O513" i="3" s="1"/>
  <c r="P514" i="3"/>
  <c r="O514" i="3" s="1"/>
  <c r="P515" i="3"/>
  <c r="O515" i="3" s="1"/>
  <c r="P516" i="3"/>
  <c r="O516" i="3" s="1"/>
  <c r="P517" i="3"/>
  <c r="O517" i="3" s="1"/>
  <c r="P518" i="3"/>
  <c r="O518" i="3" s="1"/>
  <c r="P519" i="3"/>
  <c r="O519" i="3" s="1"/>
  <c r="P520" i="3"/>
  <c r="O520" i="3" s="1"/>
  <c r="P521" i="3"/>
  <c r="O521" i="3" s="1"/>
  <c r="P522" i="3"/>
  <c r="P523" i="3"/>
  <c r="O523" i="3" s="1"/>
  <c r="P524" i="3"/>
  <c r="O524" i="3" s="1"/>
  <c r="P525" i="3"/>
  <c r="O525" i="3" s="1"/>
  <c r="P526" i="3"/>
  <c r="O526" i="3" s="1"/>
  <c r="P527" i="3"/>
  <c r="O527" i="3" s="1"/>
  <c r="P528" i="3"/>
  <c r="O528" i="3" s="1"/>
  <c r="P529" i="3"/>
  <c r="O529" i="3" s="1"/>
  <c r="P530" i="3"/>
  <c r="O530" i="3" s="1"/>
  <c r="P531" i="3"/>
  <c r="O531" i="3" s="1"/>
  <c r="P532" i="3"/>
  <c r="O532" i="3" s="1"/>
  <c r="P533" i="3"/>
  <c r="O533" i="3" s="1"/>
  <c r="P534" i="3"/>
  <c r="O534" i="3" s="1"/>
  <c r="P535" i="3"/>
  <c r="O535" i="3" s="1"/>
  <c r="P536" i="3"/>
  <c r="O536" i="3" s="1"/>
  <c r="P537" i="3"/>
  <c r="O537" i="3" s="1"/>
  <c r="P538" i="3"/>
  <c r="P539" i="3"/>
  <c r="O539" i="3" s="1"/>
  <c r="P540" i="3"/>
  <c r="O540" i="3" s="1"/>
  <c r="P541" i="3"/>
  <c r="O541" i="3" s="1"/>
  <c r="P542" i="3"/>
  <c r="O542" i="3" s="1"/>
  <c r="P543" i="3"/>
  <c r="O543" i="3" s="1"/>
  <c r="P544" i="3"/>
  <c r="O544" i="3" s="1"/>
  <c r="P545" i="3"/>
  <c r="O545" i="3" s="1"/>
  <c r="P546" i="3"/>
  <c r="O546" i="3" s="1"/>
  <c r="P547" i="3"/>
  <c r="O547" i="3" s="1"/>
  <c r="P548" i="3"/>
  <c r="O548" i="3" s="1"/>
  <c r="P549" i="3"/>
  <c r="O549" i="3" s="1"/>
  <c r="P550" i="3"/>
  <c r="O550" i="3" s="1"/>
  <c r="P551" i="3"/>
  <c r="O551" i="3" s="1"/>
  <c r="P552" i="3"/>
  <c r="O552" i="3" s="1"/>
  <c r="P553" i="3"/>
  <c r="O553" i="3" s="1"/>
  <c r="P554" i="3"/>
  <c r="P555" i="3"/>
  <c r="O555" i="3" s="1"/>
  <c r="P556" i="3"/>
  <c r="O556" i="3" s="1"/>
  <c r="P557" i="3"/>
  <c r="O557" i="3" s="1"/>
  <c r="P558" i="3"/>
  <c r="O558" i="3" s="1"/>
  <c r="P559" i="3"/>
  <c r="O559" i="3" s="1"/>
  <c r="P560" i="3"/>
  <c r="O560" i="3" s="1"/>
  <c r="P561" i="3"/>
  <c r="O561" i="3" s="1"/>
  <c r="P562" i="3"/>
  <c r="O562" i="3" s="1"/>
  <c r="P563" i="3"/>
  <c r="O563" i="3" s="1"/>
  <c r="P564" i="3"/>
  <c r="O564" i="3" s="1"/>
  <c r="P565" i="3"/>
  <c r="O565" i="3" s="1"/>
  <c r="P566" i="3"/>
  <c r="O566" i="3" s="1"/>
  <c r="P567" i="3"/>
  <c r="O567" i="3" s="1"/>
  <c r="P568" i="3"/>
  <c r="O568" i="3" s="1"/>
  <c r="P569" i="3"/>
  <c r="O569" i="3" s="1"/>
  <c r="P570" i="3"/>
  <c r="P571" i="3"/>
  <c r="O571" i="3" s="1"/>
  <c r="P572" i="3"/>
  <c r="O572" i="3" s="1"/>
  <c r="P573" i="3"/>
  <c r="O573" i="3" s="1"/>
  <c r="P574" i="3"/>
  <c r="O574" i="3" s="1"/>
  <c r="P575" i="3"/>
  <c r="O575" i="3" s="1"/>
  <c r="P576" i="3"/>
  <c r="O576" i="3" s="1"/>
  <c r="P577" i="3"/>
  <c r="O577" i="3" s="1"/>
  <c r="P578" i="3"/>
  <c r="O578" i="3" s="1"/>
  <c r="P579" i="3"/>
  <c r="O579" i="3" s="1"/>
  <c r="P580" i="3"/>
  <c r="O580" i="3" s="1"/>
  <c r="P581" i="3"/>
  <c r="O581" i="3" s="1"/>
  <c r="P582" i="3"/>
  <c r="O582" i="3" s="1"/>
  <c r="P583" i="3"/>
  <c r="O583" i="3" s="1"/>
  <c r="P584" i="3"/>
  <c r="O584" i="3" s="1"/>
  <c r="P585" i="3"/>
  <c r="O585" i="3" s="1"/>
  <c r="P586" i="3"/>
  <c r="P587" i="3"/>
  <c r="O587" i="3" s="1"/>
  <c r="P588" i="3"/>
  <c r="O588" i="3" s="1"/>
  <c r="P589" i="3"/>
  <c r="O589" i="3" s="1"/>
  <c r="P590" i="3"/>
  <c r="O590" i="3" s="1"/>
  <c r="P591" i="3"/>
  <c r="O591" i="3" s="1"/>
  <c r="P592" i="3"/>
  <c r="O592" i="3" s="1"/>
  <c r="P593" i="3"/>
  <c r="O593" i="3" s="1"/>
  <c r="P594" i="3"/>
  <c r="O594" i="3" s="1"/>
  <c r="P595" i="3"/>
  <c r="O595" i="3" s="1"/>
  <c r="P596" i="3"/>
  <c r="O596" i="3" s="1"/>
  <c r="P597" i="3"/>
  <c r="O597" i="3" s="1"/>
  <c r="P598" i="3"/>
  <c r="O598" i="3" s="1"/>
  <c r="P599" i="3"/>
  <c r="O599" i="3" s="1"/>
  <c r="P600" i="3"/>
  <c r="O600" i="3" s="1"/>
  <c r="P601" i="3"/>
  <c r="O601" i="3" s="1"/>
  <c r="P602" i="3"/>
  <c r="P603" i="3"/>
  <c r="O603" i="3" s="1"/>
  <c r="P604" i="3"/>
  <c r="O604" i="3" s="1"/>
  <c r="P605" i="3"/>
  <c r="O605" i="3" s="1"/>
  <c r="P606" i="3"/>
  <c r="O606" i="3" s="1"/>
  <c r="P607" i="3"/>
  <c r="O607" i="3" s="1"/>
  <c r="P608" i="3"/>
  <c r="O608" i="3" s="1"/>
  <c r="P609" i="3"/>
  <c r="O609" i="3" s="1"/>
  <c r="P610" i="3"/>
  <c r="O610" i="3" s="1"/>
  <c r="P611" i="3"/>
  <c r="O611" i="3" s="1"/>
  <c r="P612" i="3"/>
  <c r="O612" i="3" s="1"/>
  <c r="P613" i="3"/>
  <c r="O613" i="3" s="1"/>
  <c r="P614" i="3"/>
  <c r="O614" i="3" s="1"/>
  <c r="P615" i="3"/>
  <c r="O615" i="3" s="1"/>
  <c r="P616" i="3"/>
  <c r="O616" i="3" s="1"/>
  <c r="P617" i="3"/>
  <c r="O617" i="3" s="1"/>
  <c r="P618" i="3"/>
  <c r="P619" i="3"/>
  <c r="O619" i="3" s="1"/>
  <c r="P620" i="3"/>
  <c r="O620" i="3" s="1"/>
  <c r="P621" i="3"/>
  <c r="O621" i="3" s="1"/>
  <c r="P622" i="3"/>
  <c r="O622" i="3" s="1"/>
  <c r="P623" i="3"/>
  <c r="O623" i="3" s="1"/>
  <c r="P624" i="3"/>
  <c r="O624" i="3" s="1"/>
  <c r="P625" i="3"/>
  <c r="O625" i="3" s="1"/>
  <c r="P626" i="3"/>
  <c r="O626" i="3" s="1"/>
  <c r="P627" i="3"/>
  <c r="O627" i="3" s="1"/>
  <c r="P628" i="3"/>
  <c r="O628" i="3" s="1"/>
  <c r="P629" i="3"/>
  <c r="O629" i="3" s="1"/>
  <c r="P630" i="3"/>
  <c r="O630" i="3" s="1"/>
  <c r="P631" i="3"/>
  <c r="O631" i="3" s="1"/>
  <c r="P632" i="3"/>
  <c r="O632" i="3" s="1"/>
  <c r="P633" i="3"/>
  <c r="O633" i="3" s="1"/>
  <c r="P634" i="3"/>
  <c r="O634" i="3" s="1"/>
  <c r="P635" i="3"/>
  <c r="O635" i="3" s="1"/>
  <c r="P636" i="3"/>
  <c r="O636" i="3" s="1"/>
  <c r="P637" i="3"/>
  <c r="O637" i="3" s="1"/>
  <c r="P638" i="3"/>
  <c r="O638" i="3" s="1"/>
  <c r="P639" i="3"/>
  <c r="P640" i="3"/>
  <c r="O640" i="3" s="1"/>
  <c r="P641" i="3"/>
  <c r="O641" i="3" s="1"/>
  <c r="P642" i="3"/>
  <c r="O642" i="3" s="1"/>
  <c r="P643" i="3"/>
  <c r="O643" i="3" s="1"/>
  <c r="P644" i="3"/>
  <c r="O644" i="3" s="1"/>
  <c r="P645" i="3"/>
  <c r="O645" i="3" s="1"/>
  <c r="P646" i="3"/>
  <c r="O646" i="3" s="1"/>
  <c r="P647" i="3"/>
  <c r="O647" i="3" s="1"/>
  <c r="P648" i="3"/>
  <c r="P649" i="3"/>
  <c r="O649" i="3" s="1"/>
  <c r="P650" i="3"/>
  <c r="O650" i="3" s="1"/>
  <c r="P651" i="3"/>
  <c r="O651" i="3" s="1"/>
  <c r="P652" i="3"/>
  <c r="O652" i="3" s="1"/>
  <c r="P653" i="3"/>
  <c r="O653" i="3" s="1"/>
  <c r="P654" i="3"/>
  <c r="O654" i="3" s="1"/>
  <c r="P655" i="3"/>
  <c r="O655" i="3" s="1"/>
  <c r="P656" i="3"/>
  <c r="O656" i="3" s="1"/>
  <c r="P657" i="3"/>
  <c r="P658" i="3"/>
  <c r="O658" i="3" s="1"/>
  <c r="P659" i="3"/>
  <c r="O659" i="3" s="1"/>
  <c r="P660" i="3"/>
  <c r="O660" i="3" s="1"/>
  <c r="P661" i="3"/>
  <c r="O661" i="3" s="1"/>
  <c r="P662" i="3"/>
  <c r="O662" i="3" s="1"/>
  <c r="P663" i="3"/>
  <c r="O663" i="3" s="1"/>
  <c r="P664" i="3"/>
  <c r="O664" i="3" s="1"/>
  <c r="P665" i="3"/>
  <c r="O665" i="3" s="1"/>
  <c r="P666" i="3"/>
  <c r="P667" i="3"/>
  <c r="O667" i="3" s="1"/>
  <c r="P668" i="3"/>
  <c r="O668" i="3" s="1"/>
  <c r="P669" i="3"/>
  <c r="O669" i="3" s="1"/>
  <c r="P670" i="3"/>
  <c r="O670" i="3" s="1"/>
  <c r="P671" i="3"/>
  <c r="O671" i="3" s="1"/>
  <c r="P672" i="3"/>
  <c r="O672" i="3" s="1"/>
  <c r="P673" i="3"/>
  <c r="O673" i="3" s="1"/>
  <c r="P674" i="3"/>
  <c r="O674" i="3" s="1"/>
  <c r="P675" i="3"/>
  <c r="P676" i="3"/>
  <c r="O676" i="3" s="1"/>
  <c r="P677" i="3"/>
  <c r="O677" i="3" s="1"/>
  <c r="P678" i="3"/>
  <c r="O678" i="3" s="1"/>
  <c r="P679" i="3"/>
  <c r="O679" i="3" s="1"/>
  <c r="P680" i="3"/>
  <c r="O680" i="3" s="1"/>
  <c r="P681" i="3"/>
  <c r="O681" i="3" s="1"/>
  <c r="P682" i="3"/>
  <c r="O682" i="3" s="1"/>
  <c r="P683" i="3"/>
  <c r="O683" i="3" s="1"/>
  <c r="P684" i="3"/>
  <c r="O684" i="3" s="1"/>
  <c r="P685" i="3"/>
  <c r="O685" i="3" s="1"/>
  <c r="P686" i="3"/>
  <c r="O686" i="3" s="1"/>
  <c r="P687" i="3"/>
  <c r="O687" i="3" s="1"/>
  <c r="P688" i="3"/>
  <c r="O688" i="3" s="1"/>
  <c r="P689" i="3"/>
  <c r="O689" i="3" s="1"/>
  <c r="P690" i="3"/>
  <c r="O690" i="3" s="1"/>
  <c r="P691" i="3"/>
  <c r="O691" i="3" s="1"/>
  <c r="P692" i="3"/>
  <c r="O692" i="3" s="1"/>
  <c r="P693" i="3"/>
  <c r="O693" i="3" s="1"/>
  <c r="P694" i="3"/>
  <c r="O694" i="3" s="1"/>
  <c r="P695" i="3"/>
  <c r="O695" i="3" s="1"/>
  <c r="P696" i="3"/>
  <c r="O696" i="3" s="1"/>
  <c r="P697" i="3"/>
  <c r="O697" i="3" s="1"/>
  <c r="P698" i="3"/>
  <c r="O698" i="3" s="1"/>
  <c r="P699" i="3"/>
  <c r="O699" i="3" s="1"/>
  <c r="P700" i="3"/>
  <c r="O700" i="3" s="1"/>
  <c r="P701" i="3"/>
  <c r="O701" i="3" s="1"/>
  <c r="P702" i="3"/>
  <c r="O702" i="3" s="1"/>
  <c r="P703" i="3"/>
  <c r="O703" i="3" s="1"/>
  <c r="P704" i="3"/>
  <c r="O704" i="3" s="1"/>
  <c r="P705" i="3"/>
  <c r="O705" i="3" s="1"/>
  <c r="P706" i="3"/>
  <c r="O706" i="3" s="1"/>
  <c r="P707" i="3"/>
  <c r="O707" i="3" s="1"/>
  <c r="P708" i="3"/>
  <c r="O708" i="3" s="1"/>
  <c r="P709" i="3"/>
  <c r="O709" i="3" s="1"/>
  <c r="P710" i="3"/>
  <c r="O710" i="3" s="1"/>
  <c r="P711" i="3"/>
  <c r="O711" i="3" s="1"/>
  <c r="P712" i="3"/>
  <c r="O712" i="3" s="1"/>
  <c r="P713" i="3"/>
  <c r="O713" i="3" s="1"/>
  <c r="P714" i="3"/>
  <c r="O714" i="3" s="1"/>
  <c r="P715" i="3"/>
  <c r="O715" i="3" s="1"/>
  <c r="P716" i="3"/>
  <c r="O716" i="3" s="1"/>
  <c r="P717" i="3"/>
  <c r="O717" i="3" s="1"/>
  <c r="P718" i="3"/>
  <c r="O718" i="3" s="1"/>
  <c r="P719" i="3"/>
  <c r="O719" i="3" s="1"/>
  <c r="P720" i="3"/>
  <c r="O720" i="3" s="1"/>
  <c r="P721" i="3"/>
  <c r="O721" i="3" s="1"/>
  <c r="P722" i="3"/>
  <c r="O722" i="3" s="1"/>
  <c r="P723" i="3"/>
  <c r="O723" i="3" s="1"/>
  <c r="P724" i="3"/>
  <c r="O724" i="3" s="1"/>
  <c r="P725" i="3"/>
  <c r="O725" i="3" s="1"/>
  <c r="P726" i="3"/>
  <c r="O726" i="3" s="1"/>
  <c r="P727" i="3"/>
  <c r="O727" i="3" s="1"/>
  <c r="P728" i="3"/>
  <c r="O728" i="3" s="1"/>
  <c r="P729" i="3"/>
  <c r="O729" i="3" s="1"/>
  <c r="P730" i="3"/>
  <c r="O730" i="3" s="1"/>
  <c r="P731" i="3"/>
  <c r="O731" i="3" s="1"/>
  <c r="P732" i="3"/>
  <c r="O732" i="3" s="1"/>
  <c r="P733" i="3"/>
  <c r="O733" i="3" s="1"/>
  <c r="P734" i="3"/>
  <c r="O734" i="3" s="1"/>
  <c r="P735" i="3"/>
  <c r="O735" i="3" s="1"/>
  <c r="P736" i="3"/>
  <c r="O736" i="3" s="1"/>
  <c r="P737" i="3"/>
  <c r="O737" i="3" s="1"/>
  <c r="P738" i="3"/>
  <c r="O738" i="3" s="1"/>
  <c r="P739" i="3"/>
  <c r="O739" i="3" s="1"/>
  <c r="P740" i="3"/>
  <c r="O740" i="3" s="1"/>
  <c r="P741" i="3"/>
  <c r="O741" i="3" s="1"/>
  <c r="P742" i="3"/>
  <c r="O742" i="3" s="1"/>
  <c r="P743" i="3"/>
  <c r="O743" i="3" s="1"/>
  <c r="P744" i="3"/>
  <c r="O744" i="3" s="1"/>
  <c r="P745" i="3"/>
  <c r="O745" i="3" s="1"/>
  <c r="P746" i="3"/>
  <c r="O746" i="3" s="1"/>
  <c r="P747" i="3"/>
  <c r="O747" i="3" s="1"/>
  <c r="P748" i="3"/>
  <c r="O748" i="3" s="1"/>
  <c r="P749" i="3"/>
  <c r="O749" i="3" s="1"/>
  <c r="P750" i="3"/>
  <c r="O750" i="3" s="1"/>
  <c r="P751" i="3"/>
  <c r="O751" i="3" s="1"/>
  <c r="P752" i="3"/>
  <c r="O752" i="3" s="1"/>
  <c r="P753" i="3"/>
  <c r="O753" i="3" s="1"/>
  <c r="P754" i="3"/>
  <c r="O754" i="3" s="1"/>
  <c r="P755" i="3"/>
  <c r="O755" i="3" s="1"/>
  <c r="P756" i="3"/>
  <c r="O756" i="3" s="1"/>
  <c r="P757" i="3"/>
  <c r="O757" i="3" s="1"/>
  <c r="P758" i="3"/>
  <c r="O758" i="3" s="1"/>
  <c r="P759" i="3"/>
  <c r="O759" i="3" s="1"/>
  <c r="P760" i="3"/>
  <c r="O760" i="3" s="1"/>
  <c r="P761" i="3"/>
  <c r="O761" i="3" s="1"/>
  <c r="P762" i="3"/>
  <c r="O762" i="3" s="1"/>
  <c r="P763" i="3"/>
  <c r="O763" i="3" s="1"/>
  <c r="P764" i="3"/>
  <c r="O764" i="3" s="1"/>
  <c r="P765" i="3"/>
  <c r="O765" i="3" s="1"/>
  <c r="P766" i="3"/>
  <c r="O766" i="3" s="1"/>
  <c r="P767" i="3"/>
  <c r="O767" i="3" s="1"/>
  <c r="P768" i="3"/>
  <c r="O768" i="3" s="1"/>
  <c r="P769" i="3"/>
  <c r="O769" i="3" s="1"/>
  <c r="P770" i="3"/>
  <c r="O770" i="3" s="1"/>
  <c r="P771" i="3"/>
  <c r="O771" i="3" s="1"/>
  <c r="P772" i="3"/>
  <c r="O772" i="3" s="1"/>
  <c r="P773" i="3"/>
  <c r="O773" i="3" s="1"/>
  <c r="P774" i="3"/>
  <c r="O774" i="3" s="1"/>
  <c r="P775" i="3"/>
  <c r="O775" i="3" s="1"/>
  <c r="P776" i="3"/>
  <c r="O776" i="3" s="1"/>
  <c r="P777" i="3"/>
  <c r="O777" i="3" s="1"/>
  <c r="P778" i="3"/>
  <c r="O778" i="3" s="1"/>
  <c r="P779" i="3"/>
  <c r="O779" i="3" s="1"/>
  <c r="P780" i="3"/>
  <c r="O780" i="3" s="1"/>
  <c r="P781" i="3"/>
  <c r="O781" i="3" s="1"/>
  <c r="P782" i="3"/>
  <c r="O782" i="3" s="1"/>
  <c r="P783" i="3"/>
  <c r="O783" i="3" s="1"/>
  <c r="P784" i="3"/>
  <c r="O784" i="3" s="1"/>
  <c r="P785" i="3"/>
  <c r="O785" i="3" s="1"/>
  <c r="P786" i="3"/>
  <c r="O786" i="3" s="1"/>
  <c r="P787" i="3"/>
  <c r="O787" i="3" s="1"/>
  <c r="P788" i="3"/>
  <c r="O788" i="3" s="1"/>
  <c r="P789" i="3"/>
  <c r="O789" i="3" s="1"/>
  <c r="P790" i="3"/>
  <c r="O790" i="3" s="1"/>
  <c r="P791" i="3"/>
  <c r="O791" i="3" s="1"/>
  <c r="P792" i="3"/>
  <c r="O792" i="3" s="1"/>
  <c r="P793" i="3"/>
  <c r="O793" i="3" s="1"/>
  <c r="P794" i="3"/>
  <c r="O794" i="3" s="1"/>
  <c r="P795" i="3"/>
  <c r="O795" i="3" s="1"/>
  <c r="P796" i="3"/>
  <c r="O796" i="3" s="1"/>
  <c r="P797" i="3"/>
  <c r="O797" i="3" s="1"/>
  <c r="P798" i="3"/>
  <c r="O798" i="3" s="1"/>
  <c r="P799" i="3"/>
  <c r="O799" i="3" s="1"/>
  <c r="P800" i="3"/>
  <c r="O800" i="3" s="1"/>
  <c r="P801" i="3"/>
  <c r="O801" i="3" s="1"/>
  <c r="P802" i="3"/>
  <c r="O802" i="3" s="1"/>
  <c r="P803" i="3"/>
  <c r="O803" i="3" s="1"/>
  <c r="P804" i="3"/>
  <c r="O804" i="3" s="1"/>
  <c r="P805" i="3"/>
  <c r="O805" i="3" s="1"/>
  <c r="P806" i="3"/>
  <c r="O806" i="3" s="1"/>
  <c r="P807" i="3"/>
  <c r="O807" i="3" s="1"/>
  <c r="P808" i="3"/>
  <c r="O808" i="3" s="1"/>
  <c r="P809" i="3"/>
  <c r="O809" i="3" s="1"/>
  <c r="P810" i="3"/>
  <c r="O810" i="3" s="1"/>
  <c r="P811" i="3"/>
  <c r="O811" i="3" s="1"/>
  <c r="P812" i="3"/>
  <c r="O812" i="3" s="1"/>
  <c r="P813" i="3"/>
  <c r="O813" i="3" s="1"/>
  <c r="P814" i="3"/>
  <c r="O814" i="3" s="1"/>
  <c r="P815" i="3"/>
  <c r="O815" i="3" s="1"/>
  <c r="P816" i="3"/>
  <c r="O816" i="3" s="1"/>
  <c r="P817" i="3"/>
  <c r="O817" i="3" s="1"/>
  <c r="P818" i="3"/>
  <c r="O818" i="3" s="1"/>
  <c r="P819" i="3"/>
  <c r="O819" i="3" s="1"/>
  <c r="P820" i="3"/>
  <c r="O820" i="3" s="1"/>
  <c r="P821" i="3"/>
  <c r="O821" i="3" s="1"/>
  <c r="P822" i="3"/>
  <c r="O822" i="3" s="1"/>
  <c r="P823" i="3"/>
  <c r="O823" i="3" s="1"/>
  <c r="P824" i="3"/>
  <c r="O824" i="3" s="1"/>
  <c r="P825" i="3"/>
  <c r="O825" i="3" s="1"/>
  <c r="P826" i="3"/>
  <c r="O826" i="3" s="1"/>
  <c r="P827" i="3"/>
  <c r="O827" i="3" s="1"/>
  <c r="P828" i="3"/>
  <c r="O828" i="3" s="1"/>
  <c r="P829" i="3"/>
  <c r="O829" i="3" s="1"/>
  <c r="P830" i="3"/>
  <c r="O830" i="3" s="1"/>
  <c r="P831" i="3"/>
  <c r="O831" i="3" s="1"/>
  <c r="P832" i="3"/>
  <c r="O832" i="3" s="1"/>
  <c r="P833" i="3"/>
  <c r="O833" i="3" s="1"/>
  <c r="P834" i="3"/>
  <c r="O834" i="3" s="1"/>
  <c r="P835" i="3"/>
  <c r="O835" i="3" s="1"/>
  <c r="P836" i="3"/>
  <c r="O836" i="3" s="1"/>
  <c r="P837" i="3"/>
  <c r="O837" i="3" s="1"/>
  <c r="P838" i="3"/>
  <c r="O838" i="3" s="1"/>
  <c r="P839" i="3"/>
  <c r="O839" i="3" s="1"/>
  <c r="P840" i="3"/>
  <c r="O840" i="3" s="1"/>
  <c r="P841" i="3"/>
  <c r="O841" i="3" s="1"/>
  <c r="P842" i="3"/>
  <c r="O842" i="3" s="1"/>
  <c r="P843" i="3"/>
  <c r="O843" i="3" s="1"/>
  <c r="P844" i="3"/>
  <c r="O844" i="3" s="1"/>
  <c r="P845" i="3"/>
  <c r="O845" i="3" s="1"/>
  <c r="P846" i="3"/>
  <c r="O846" i="3" s="1"/>
  <c r="P847" i="3"/>
  <c r="O847" i="3" s="1"/>
  <c r="P848" i="3"/>
  <c r="O848" i="3" s="1"/>
  <c r="P849" i="3"/>
  <c r="O849" i="3" s="1"/>
  <c r="P850" i="3"/>
  <c r="O850" i="3" s="1"/>
  <c r="P851" i="3"/>
  <c r="O851" i="3" s="1"/>
  <c r="P852" i="3"/>
  <c r="O852" i="3" s="1"/>
  <c r="P853" i="3"/>
  <c r="O853" i="3" s="1"/>
  <c r="P854" i="3"/>
  <c r="O854" i="3" s="1"/>
  <c r="P855" i="3"/>
  <c r="O855" i="3" s="1"/>
  <c r="P856" i="3"/>
  <c r="O856" i="3" s="1"/>
  <c r="P857" i="3"/>
  <c r="O857" i="3" s="1"/>
  <c r="P858" i="3"/>
  <c r="O858" i="3" s="1"/>
  <c r="P859" i="3"/>
  <c r="O859" i="3" s="1"/>
  <c r="P860" i="3"/>
  <c r="O860" i="3" s="1"/>
  <c r="P861" i="3"/>
  <c r="O861" i="3" s="1"/>
  <c r="P862" i="3"/>
  <c r="O862" i="3" s="1"/>
  <c r="P863" i="3"/>
  <c r="O863" i="3" s="1"/>
  <c r="P864" i="3"/>
  <c r="O864" i="3" s="1"/>
  <c r="P865" i="3"/>
  <c r="O865" i="3" s="1"/>
  <c r="P866" i="3"/>
  <c r="O866" i="3" s="1"/>
  <c r="P867" i="3"/>
  <c r="O867" i="3" s="1"/>
  <c r="P868" i="3"/>
  <c r="O868" i="3" s="1"/>
  <c r="P869" i="3"/>
  <c r="O869" i="3" s="1"/>
  <c r="P870" i="3"/>
  <c r="O870" i="3" s="1"/>
  <c r="P871" i="3"/>
  <c r="O871" i="3" s="1"/>
  <c r="P872" i="3"/>
  <c r="O872" i="3" s="1"/>
  <c r="P873" i="3"/>
  <c r="O873" i="3" s="1"/>
  <c r="P874" i="3"/>
  <c r="O874" i="3" s="1"/>
  <c r="P875" i="3"/>
  <c r="O875" i="3" s="1"/>
  <c r="P876" i="3"/>
  <c r="O876" i="3" s="1"/>
  <c r="P877" i="3"/>
  <c r="O877" i="3" s="1"/>
  <c r="P878" i="3"/>
  <c r="O878" i="3" s="1"/>
  <c r="P879" i="3"/>
  <c r="O879" i="3" s="1"/>
  <c r="P880" i="3"/>
  <c r="O880" i="3" s="1"/>
  <c r="P881" i="3"/>
  <c r="O881" i="3" s="1"/>
  <c r="P882" i="3"/>
  <c r="O882" i="3" s="1"/>
  <c r="P883" i="3"/>
  <c r="O883" i="3" s="1"/>
  <c r="P884" i="3"/>
  <c r="O884" i="3" s="1"/>
  <c r="P885" i="3"/>
  <c r="O885" i="3" s="1"/>
  <c r="P886" i="3"/>
  <c r="O886" i="3" s="1"/>
  <c r="P887" i="3"/>
  <c r="O887" i="3" s="1"/>
  <c r="P888" i="3"/>
  <c r="O888" i="3" s="1"/>
  <c r="P889" i="3"/>
  <c r="O889" i="3" s="1"/>
  <c r="P890" i="3"/>
  <c r="O890" i="3" s="1"/>
  <c r="P891" i="3"/>
  <c r="O891" i="3" s="1"/>
  <c r="P892" i="3"/>
  <c r="O892" i="3" s="1"/>
  <c r="P893" i="3"/>
  <c r="O893" i="3" s="1"/>
  <c r="P894" i="3"/>
  <c r="O894" i="3" s="1"/>
  <c r="P895" i="3"/>
  <c r="O895" i="3" s="1"/>
  <c r="P896" i="3"/>
  <c r="O896" i="3" s="1"/>
  <c r="P897" i="3"/>
  <c r="O897" i="3" s="1"/>
  <c r="P898" i="3"/>
  <c r="O898" i="3" s="1"/>
  <c r="P899" i="3"/>
  <c r="O899" i="3" s="1"/>
  <c r="P900" i="3"/>
  <c r="O900" i="3" s="1"/>
  <c r="P901" i="3"/>
  <c r="O901" i="3" s="1"/>
  <c r="P902" i="3"/>
  <c r="O902" i="3" s="1"/>
  <c r="P903" i="3"/>
  <c r="O903" i="3" s="1"/>
  <c r="P904" i="3"/>
  <c r="O904" i="3" s="1"/>
  <c r="P905" i="3"/>
  <c r="O905" i="3" s="1"/>
  <c r="P906" i="3"/>
  <c r="O906" i="3" s="1"/>
  <c r="P907" i="3"/>
  <c r="O907" i="3" s="1"/>
  <c r="P908" i="3"/>
  <c r="O908" i="3" s="1"/>
  <c r="P909" i="3"/>
  <c r="O909" i="3" s="1"/>
  <c r="P910" i="3"/>
  <c r="O910" i="3" s="1"/>
  <c r="P911" i="3"/>
  <c r="O911" i="3" s="1"/>
  <c r="P912" i="3"/>
  <c r="O912" i="3" s="1"/>
  <c r="P913" i="3"/>
  <c r="O913" i="3" s="1"/>
  <c r="P914" i="3"/>
  <c r="O914" i="3" s="1"/>
  <c r="P915" i="3"/>
  <c r="O915" i="3" s="1"/>
  <c r="P916" i="3"/>
  <c r="O916" i="3" s="1"/>
  <c r="P917" i="3"/>
  <c r="O917" i="3" s="1"/>
  <c r="P918" i="3"/>
  <c r="O918" i="3" s="1"/>
  <c r="P919" i="3"/>
  <c r="O919" i="3" s="1"/>
  <c r="P920" i="3"/>
  <c r="O920" i="3" s="1"/>
  <c r="P921" i="3"/>
  <c r="O921" i="3" s="1"/>
  <c r="P922" i="3"/>
  <c r="O922" i="3" s="1"/>
  <c r="P923" i="3"/>
  <c r="O923" i="3" s="1"/>
  <c r="P924" i="3"/>
  <c r="O924" i="3" s="1"/>
  <c r="P925" i="3"/>
  <c r="O925" i="3" s="1"/>
  <c r="P926" i="3"/>
  <c r="O926" i="3" s="1"/>
  <c r="P927" i="3"/>
  <c r="O927" i="3" s="1"/>
  <c r="P928" i="3"/>
  <c r="O928" i="3" s="1"/>
  <c r="P929" i="3"/>
  <c r="O929" i="3" s="1"/>
  <c r="P930" i="3"/>
  <c r="O930" i="3" s="1"/>
  <c r="P931" i="3"/>
  <c r="O931" i="3" s="1"/>
  <c r="P932" i="3"/>
  <c r="O932" i="3" s="1"/>
  <c r="P933" i="3"/>
  <c r="O933" i="3" s="1"/>
  <c r="P934" i="3"/>
  <c r="O934" i="3" s="1"/>
  <c r="P935" i="3"/>
  <c r="O935" i="3" s="1"/>
  <c r="P936" i="3"/>
  <c r="O936" i="3" s="1"/>
  <c r="P937" i="3"/>
  <c r="O937" i="3" s="1"/>
  <c r="P938" i="3"/>
  <c r="O938" i="3" s="1"/>
  <c r="P939" i="3"/>
  <c r="O939" i="3" s="1"/>
  <c r="P940" i="3"/>
  <c r="O940" i="3" s="1"/>
  <c r="P941" i="3"/>
  <c r="O941" i="3" s="1"/>
  <c r="P942" i="3"/>
  <c r="O942" i="3" s="1"/>
  <c r="P943" i="3"/>
  <c r="O943" i="3" s="1"/>
  <c r="P944" i="3"/>
  <c r="O944" i="3" s="1"/>
  <c r="P945" i="3"/>
  <c r="O945" i="3" s="1"/>
  <c r="P946" i="3"/>
  <c r="O946" i="3" s="1"/>
  <c r="P947" i="3"/>
  <c r="O947" i="3" s="1"/>
  <c r="P948" i="3"/>
  <c r="O948" i="3" s="1"/>
  <c r="P949" i="3"/>
  <c r="O949" i="3" s="1"/>
  <c r="P950" i="3"/>
  <c r="O950" i="3" s="1"/>
  <c r="P951" i="3"/>
  <c r="O951" i="3" s="1"/>
  <c r="P952" i="3"/>
  <c r="O952" i="3" s="1"/>
  <c r="P953" i="3"/>
  <c r="O953" i="3" s="1"/>
  <c r="P954" i="3"/>
  <c r="O954" i="3" s="1"/>
  <c r="P955" i="3"/>
  <c r="O955" i="3" s="1"/>
  <c r="P956" i="3"/>
  <c r="O956" i="3" s="1"/>
  <c r="P957" i="3"/>
  <c r="O957" i="3" s="1"/>
  <c r="P958" i="3"/>
  <c r="O958" i="3" s="1"/>
  <c r="P959" i="3"/>
  <c r="O959" i="3" s="1"/>
  <c r="P960" i="3"/>
  <c r="O960" i="3" s="1"/>
  <c r="P961" i="3"/>
  <c r="O961" i="3" s="1"/>
  <c r="P962" i="3"/>
  <c r="O962" i="3" s="1"/>
  <c r="P963" i="3"/>
  <c r="O963" i="3" s="1"/>
  <c r="P964" i="3"/>
  <c r="O964" i="3" s="1"/>
  <c r="P965" i="3"/>
  <c r="O965" i="3" s="1"/>
  <c r="P966" i="3"/>
  <c r="O966" i="3" s="1"/>
  <c r="P967" i="3"/>
  <c r="O967" i="3" s="1"/>
  <c r="P968" i="3"/>
  <c r="O968" i="3" s="1"/>
  <c r="P969" i="3"/>
  <c r="O969" i="3" s="1"/>
  <c r="P970" i="3"/>
  <c r="O970" i="3" s="1"/>
  <c r="P971" i="3"/>
  <c r="O971" i="3" s="1"/>
  <c r="P972" i="3"/>
  <c r="O972" i="3" s="1"/>
  <c r="P973" i="3"/>
  <c r="O973" i="3" s="1"/>
  <c r="P974" i="3"/>
  <c r="O974" i="3" s="1"/>
  <c r="P975" i="3"/>
  <c r="O975" i="3" s="1"/>
  <c r="P976" i="3"/>
  <c r="O976" i="3" s="1"/>
  <c r="P977" i="3"/>
  <c r="O977" i="3" s="1"/>
  <c r="P978" i="3"/>
  <c r="O978" i="3" s="1"/>
  <c r="P979" i="3"/>
  <c r="O979" i="3" s="1"/>
  <c r="P980" i="3"/>
  <c r="O980" i="3" s="1"/>
  <c r="P981" i="3"/>
  <c r="O981" i="3" s="1"/>
  <c r="P982" i="3"/>
  <c r="O982" i="3" s="1"/>
  <c r="P983" i="3"/>
  <c r="O983" i="3" s="1"/>
  <c r="P984" i="3"/>
  <c r="O984" i="3" s="1"/>
  <c r="P985" i="3"/>
  <c r="O985" i="3" s="1"/>
  <c r="P986" i="3"/>
  <c r="O986" i="3" s="1"/>
  <c r="P987" i="3"/>
  <c r="O987" i="3" s="1"/>
  <c r="P988" i="3"/>
  <c r="O988" i="3" s="1"/>
  <c r="P989" i="3"/>
  <c r="O989" i="3" s="1"/>
  <c r="P990" i="3"/>
  <c r="O990" i="3" s="1"/>
  <c r="P991" i="3"/>
  <c r="O991" i="3" s="1"/>
  <c r="P992" i="3"/>
  <c r="O992" i="3" s="1"/>
  <c r="P993" i="3"/>
  <c r="O993" i="3" s="1"/>
  <c r="P994" i="3"/>
  <c r="O994" i="3" s="1"/>
  <c r="P995" i="3"/>
  <c r="O995" i="3" s="1"/>
  <c r="P996" i="3"/>
  <c r="O996" i="3" s="1"/>
  <c r="P997" i="3"/>
  <c r="O997" i="3" s="1"/>
  <c r="P998" i="3"/>
  <c r="O998" i="3" s="1"/>
  <c r="P999" i="3"/>
  <c r="O999" i="3" s="1"/>
  <c r="P1000" i="3"/>
  <c r="O1000" i="3" s="1"/>
  <c r="P1001" i="3"/>
  <c r="O1001" i="3" s="1"/>
  <c r="P1002" i="3"/>
  <c r="O1002" i="3" s="1"/>
  <c r="P1003" i="3"/>
  <c r="O1003" i="3" s="1"/>
  <c r="P1004" i="3"/>
  <c r="O1004" i="3" s="1"/>
  <c r="P1005" i="3"/>
  <c r="O1005" i="3" s="1"/>
  <c r="P1006" i="3"/>
  <c r="O1006" i="3" s="1"/>
  <c r="P1007" i="3"/>
  <c r="O1007" i="3" s="1"/>
  <c r="P1008" i="3"/>
  <c r="O1008" i="3" s="1"/>
  <c r="P1009" i="3"/>
  <c r="O1009" i="3" s="1"/>
  <c r="P1010" i="3"/>
  <c r="O1010" i="3" s="1"/>
  <c r="P1011" i="3"/>
  <c r="O1011" i="3" s="1"/>
  <c r="P1012" i="3"/>
  <c r="O1012" i="3" s="1"/>
  <c r="P1013" i="3"/>
  <c r="O1013" i="3" s="1"/>
  <c r="P1014" i="3"/>
  <c r="O1014" i="3" s="1"/>
  <c r="P1015" i="3"/>
  <c r="O1015" i="3" s="1"/>
  <c r="P1016" i="3"/>
  <c r="O1016" i="3" s="1"/>
  <c r="P1017" i="3"/>
  <c r="O1017" i="3" s="1"/>
  <c r="P1018" i="3"/>
  <c r="O1018" i="3" s="1"/>
  <c r="P1019" i="3"/>
  <c r="O1019" i="3" s="1"/>
  <c r="P1020" i="3"/>
  <c r="O1020" i="3" s="1"/>
  <c r="P1021" i="3"/>
  <c r="O1021" i="3" s="1"/>
  <c r="P1022" i="3"/>
  <c r="O1022" i="3" s="1"/>
  <c r="P1023" i="3"/>
  <c r="O1023" i="3" s="1"/>
  <c r="P4" i="3"/>
  <c r="P5" i="3"/>
  <c r="O5" i="3" s="1"/>
  <c r="Q5" i="3" s="1"/>
  <c r="R5" i="3" s="1"/>
  <c r="P6" i="3"/>
  <c r="O6" i="3" s="1"/>
  <c r="P7" i="3"/>
  <c r="O7" i="3" s="1"/>
  <c r="X5" i="3"/>
  <c r="W5" i="3" s="1"/>
  <c r="Y5" i="3" s="1"/>
  <c r="Z5" i="3" s="1"/>
  <c r="A18" i="3"/>
  <c r="A9" i="3"/>
  <c r="T5" i="3" l="1"/>
  <c r="S5" i="3"/>
  <c r="AA5" i="3"/>
  <c r="AB5" i="3"/>
  <c r="X226" i="3"/>
  <c r="W226" i="3" s="1"/>
  <c r="Y226" i="3" s="1"/>
  <c r="Z226" i="3" s="1"/>
  <c r="X227" i="3"/>
  <c r="W227" i="3" s="1"/>
  <c r="Y227" i="3" s="1"/>
  <c r="Z227" i="3" s="1"/>
  <c r="X228" i="3"/>
  <c r="W228" i="3" s="1"/>
  <c r="Y228" i="3" s="1"/>
  <c r="Z228" i="3" s="1"/>
  <c r="X229" i="3"/>
  <c r="W229" i="3" s="1"/>
  <c r="Y229" i="3" s="1"/>
  <c r="Z229" i="3" s="1"/>
  <c r="W230" i="3"/>
  <c r="Y230" i="3" s="1"/>
  <c r="Z230" i="3" s="1"/>
  <c r="X230" i="3"/>
  <c r="X231" i="3"/>
  <c r="W231" i="3" s="1"/>
  <c r="Y231" i="3" s="1"/>
  <c r="Z231" i="3" s="1"/>
  <c r="AA231" i="3" s="1"/>
  <c r="X232" i="3"/>
  <c r="W232" i="3" s="1"/>
  <c r="Y232" i="3" s="1"/>
  <c r="Z232" i="3" s="1"/>
  <c r="X233" i="3"/>
  <c r="W233" i="3" s="1"/>
  <c r="Y233" i="3" s="1"/>
  <c r="Z233" i="3" s="1"/>
  <c r="X234" i="3"/>
  <c r="W234" i="3" s="1"/>
  <c r="Y234" i="3" s="1"/>
  <c r="Z234" i="3" s="1"/>
  <c r="AA234" i="3" s="1"/>
  <c r="X235" i="3"/>
  <c r="W235" i="3" s="1"/>
  <c r="Y235" i="3" s="1"/>
  <c r="Z235" i="3" s="1"/>
  <c r="X236" i="3"/>
  <c r="W236" i="3" s="1"/>
  <c r="Y236" i="3" s="1"/>
  <c r="Z236" i="3" s="1"/>
  <c r="AB236" i="3" s="1"/>
  <c r="X237" i="3"/>
  <c r="W237" i="3" s="1"/>
  <c r="Y237" i="3" s="1"/>
  <c r="Z237" i="3" s="1"/>
  <c r="W238" i="3"/>
  <c r="Y238" i="3" s="1"/>
  <c r="Z238" i="3" s="1"/>
  <c r="X238" i="3"/>
  <c r="X239" i="3"/>
  <c r="W239" i="3" s="1"/>
  <c r="Y239" i="3" s="1"/>
  <c r="Z239" i="3" s="1"/>
  <c r="X240" i="3"/>
  <c r="W240" i="3" s="1"/>
  <c r="Y240" i="3" s="1"/>
  <c r="Z240" i="3" s="1"/>
  <c r="AB240" i="3" s="1"/>
  <c r="X241" i="3"/>
  <c r="W241" i="3" s="1"/>
  <c r="Y241" i="3" s="1"/>
  <c r="Z241" i="3" s="1"/>
  <c r="X242" i="3"/>
  <c r="W242" i="3" s="1"/>
  <c r="Y242" i="3" s="1"/>
  <c r="Z242" i="3" s="1"/>
  <c r="AA242" i="3" s="1"/>
  <c r="X243" i="3"/>
  <c r="W243" i="3" s="1"/>
  <c r="Y243" i="3" s="1"/>
  <c r="Z243" i="3" s="1"/>
  <c r="AA243" i="3" s="1"/>
  <c r="X244" i="3"/>
  <c r="W244" i="3" s="1"/>
  <c r="Y244" i="3" s="1"/>
  <c r="Z244" i="3" s="1"/>
  <c r="AB244" i="3" s="1"/>
  <c r="X245" i="3"/>
  <c r="W245" i="3" s="1"/>
  <c r="Y245" i="3" s="1"/>
  <c r="Z245" i="3" s="1"/>
  <c r="X246" i="3"/>
  <c r="W246" i="3" s="1"/>
  <c r="Y246" i="3" s="1"/>
  <c r="Z246" i="3" s="1"/>
  <c r="X247" i="3"/>
  <c r="W247" i="3" s="1"/>
  <c r="Y247" i="3" s="1"/>
  <c r="Z247" i="3" s="1"/>
  <c r="AA247" i="3" s="1"/>
  <c r="X248" i="3"/>
  <c r="W248" i="3" s="1"/>
  <c r="Y248" i="3" s="1"/>
  <c r="Z248" i="3" s="1"/>
  <c r="X249" i="3"/>
  <c r="W249" i="3" s="1"/>
  <c r="Y249" i="3" s="1"/>
  <c r="Z249" i="3" s="1"/>
  <c r="X250" i="3"/>
  <c r="W250" i="3" s="1"/>
  <c r="Y250" i="3" s="1"/>
  <c r="Z250" i="3" s="1"/>
  <c r="X251" i="3"/>
  <c r="W251" i="3" s="1"/>
  <c r="Y251" i="3" s="1"/>
  <c r="Z251" i="3" s="1"/>
  <c r="AA251" i="3" s="1"/>
  <c r="X252" i="3"/>
  <c r="W252" i="3" s="1"/>
  <c r="Y252" i="3" s="1"/>
  <c r="Z252" i="3" s="1"/>
  <c r="AB252" i="3" s="1"/>
  <c r="X253" i="3"/>
  <c r="W253" i="3" s="1"/>
  <c r="Y253" i="3" s="1"/>
  <c r="Z253" i="3" s="1"/>
  <c r="X254" i="3"/>
  <c r="W254" i="3" s="1"/>
  <c r="Y254" i="3" s="1"/>
  <c r="Z254" i="3" s="1"/>
  <c r="AA254" i="3" s="1"/>
  <c r="X255" i="3"/>
  <c r="W255" i="3" s="1"/>
  <c r="Y255" i="3" s="1"/>
  <c r="Z255" i="3" s="1"/>
  <c r="X256" i="3"/>
  <c r="W256" i="3" s="1"/>
  <c r="Y256" i="3" s="1"/>
  <c r="Z256" i="3" s="1"/>
  <c r="X257" i="3"/>
  <c r="W257" i="3" s="1"/>
  <c r="Y257" i="3" s="1"/>
  <c r="Z257" i="3" s="1"/>
  <c r="X258" i="3"/>
  <c r="W258" i="3" s="1"/>
  <c r="Y258" i="3" s="1"/>
  <c r="Z258" i="3" s="1"/>
  <c r="AA258" i="3" s="1"/>
  <c r="X259" i="3"/>
  <c r="W259" i="3" s="1"/>
  <c r="Y259" i="3" s="1"/>
  <c r="Z259" i="3" s="1"/>
  <c r="AA259" i="3" s="1"/>
  <c r="X260" i="3"/>
  <c r="W260" i="3" s="1"/>
  <c r="Y260" i="3" s="1"/>
  <c r="Z260" i="3" s="1"/>
  <c r="AB260" i="3" s="1"/>
  <c r="X261" i="3"/>
  <c r="W261" i="3" s="1"/>
  <c r="Y261" i="3" s="1"/>
  <c r="Z261" i="3" s="1"/>
  <c r="W262" i="3"/>
  <c r="Y262" i="3" s="1"/>
  <c r="Z262" i="3" s="1"/>
  <c r="AA262" i="3" s="1"/>
  <c r="X262" i="3"/>
  <c r="X263" i="3"/>
  <c r="W263" i="3" s="1"/>
  <c r="Y263" i="3" s="1"/>
  <c r="Z263" i="3" s="1"/>
  <c r="AA263" i="3" s="1"/>
  <c r="X264" i="3"/>
  <c r="W264" i="3" s="1"/>
  <c r="Y264" i="3" s="1"/>
  <c r="Z264" i="3" s="1"/>
  <c r="AB264" i="3" s="1"/>
  <c r="X265" i="3"/>
  <c r="W265" i="3" s="1"/>
  <c r="Y265" i="3" s="1"/>
  <c r="Z265" i="3" s="1"/>
  <c r="X266" i="3"/>
  <c r="W266" i="3" s="1"/>
  <c r="Y266" i="3" s="1"/>
  <c r="Z266" i="3" s="1"/>
  <c r="AA266" i="3" s="1"/>
  <c r="X267" i="3"/>
  <c r="W267" i="3" s="1"/>
  <c r="Y267" i="3" s="1"/>
  <c r="Z267" i="3" s="1"/>
  <c r="X268" i="3"/>
  <c r="W268" i="3" s="1"/>
  <c r="Y268" i="3" s="1"/>
  <c r="Z268" i="3" s="1"/>
  <c r="AB268" i="3" s="1"/>
  <c r="X269" i="3"/>
  <c r="W269" i="3" s="1"/>
  <c r="Y269" i="3" s="1"/>
  <c r="Z269" i="3" s="1"/>
  <c r="W270" i="3"/>
  <c r="Y270" i="3" s="1"/>
  <c r="Z270" i="3" s="1"/>
  <c r="AA270" i="3" s="1"/>
  <c r="X270" i="3"/>
  <c r="X271" i="3"/>
  <c r="W271" i="3" s="1"/>
  <c r="Y271" i="3" s="1"/>
  <c r="Z271" i="3" s="1"/>
  <c r="AA271" i="3" s="1"/>
  <c r="X272" i="3"/>
  <c r="W272" i="3" s="1"/>
  <c r="Y272" i="3" s="1"/>
  <c r="Z272" i="3" s="1"/>
  <c r="AB272" i="3" s="1"/>
  <c r="X273" i="3"/>
  <c r="W273" i="3" s="1"/>
  <c r="Y273" i="3" s="1"/>
  <c r="Z273" i="3" s="1"/>
  <c r="X274" i="3"/>
  <c r="W274" i="3" s="1"/>
  <c r="Y274" i="3" s="1"/>
  <c r="Z274" i="3" s="1"/>
  <c r="X275" i="3"/>
  <c r="W275" i="3" s="1"/>
  <c r="Y275" i="3" s="1"/>
  <c r="Z275" i="3" s="1"/>
  <c r="X276" i="3"/>
  <c r="W276" i="3" s="1"/>
  <c r="Y276" i="3" s="1"/>
  <c r="Z276" i="3" s="1"/>
  <c r="X277" i="3"/>
  <c r="W277" i="3" s="1"/>
  <c r="Y277" i="3" s="1"/>
  <c r="Z277" i="3" s="1"/>
  <c r="X278" i="3"/>
  <c r="W278" i="3" s="1"/>
  <c r="Y278" i="3" s="1"/>
  <c r="Z278" i="3" s="1"/>
  <c r="X279" i="3"/>
  <c r="W279" i="3" s="1"/>
  <c r="Y279" i="3" s="1"/>
  <c r="Z279" i="3" s="1"/>
  <c r="X280" i="3"/>
  <c r="W280" i="3" s="1"/>
  <c r="Y280" i="3" s="1"/>
  <c r="Z280" i="3" s="1"/>
  <c r="AB280" i="3" s="1"/>
  <c r="X281" i="3"/>
  <c r="W281" i="3" s="1"/>
  <c r="Y281" i="3" s="1"/>
  <c r="Z281" i="3" s="1"/>
  <c r="X282" i="3"/>
  <c r="W282" i="3" s="1"/>
  <c r="Y282" i="3" s="1"/>
  <c r="Z282" i="3" s="1"/>
  <c r="AA282" i="3" s="1"/>
  <c r="X283" i="3"/>
  <c r="W283" i="3" s="1"/>
  <c r="Y283" i="3" s="1"/>
  <c r="Z283" i="3" s="1"/>
  <c r="AA283" i="3" s="1"/>
  <c r="X284" i="3"/>
  <c r="W284" i="3" s="1"/>
  <c r="Y284" i="3" s="1"/>
  <c r="Z284" i="3" s="1"/>
  <c r="AA284" i="3" s="1"/>
  <c r="X285" i="3"/>
  <c r="W285" i="3" s="1"/>
  <c r="Y285" i="3" s="1"/>
  <c r="Z285" i="3" s="1"/>
  <c r="W286" i="3"/>
  <c r="Y286" i="3" s="1"/>
  <c r="Z286" i="3" s="1"/>
  <c r="X286" i="3"/>
  <c r="X287" i="3"/>
  <c r="W287" i="3" s="1"/>
  <c r="Y287" i="3" s="1"/>
  <c r="Z287" i="3" s="1"/>
  <c r="X288" i="3"/>
  <c r="W288" i="3" s="1"/>
  <c r="Y288" i="3" s="1"/>
  <c r="Z288" i="3" s="1"/>
  <c r="AB288" i="3" s="1"/>
  <c r="X289" i="3"/>
  <c r="W289" i="3" s="1"/>
  <c r="Y289" i="3" s="1"/>
  <c r="Z289" i="3" s="1"/>
  <c r="X290" i="3"/>
  <c r="W290" i="3" s="1"/>
  <c r="Y290" i="3" s="1"/>
  <c r="Z290" i="3" s="1"/>
  <c r="AA290" i="3" s="1"/>
  <c r="X291" i="3"/>
  <c r="W291" i="3" s="1"/>
  <c r="Y291" i="3" s="1"/>
  <c r="Z291" i="3" s="1"/>
  <c r="X292" i="3"/>
  <c r="W292" i="3" s="1"/>
  <c r="Y292" i="3" s="1"/>
  <c r="Z292" i="3" s="1"/>
  <c r="AB292" i="3" s="1"/>
  <c r="X293" i="3"/>
  <c r="W293" i="3" s="1"/>
  <c r="Y293" i="3" s="1"/>
  <c r="Z293" i="3" s="1"/>
  <c r="W294" i="3"/>
  <c r="Y294" i="3" s="1"/>
  <c r="Z294" i="3" s="1"/>
  <c r="X294" i="3"/>
  <c r="X295" i="3"/>
  <c r="W295" i="3" s="1"/>
  <c r="Y295" i="3" s="1"/>
  <c r="Z295" i="3" s="1"/>
  <c r="X296" i="3"/>
  <c r="W296" i="3" s="1"/>
  <c r="Y296" i="3" s="1"/>
  <c r="Z296" i="3" s="1"/>
  <c r="AB296" i="3" s="1"/>
  <c r="X297" i="3"/>
  <c r="W297" i="3" s="1"/>
  <c r="Y297" i="3" s="1"/>
  <c r="Z297" i="3" s="1"/>
  <c r="X298" i="3"/>
  <c r="W298" i="3" s="1"/>
  <c r="Y298" i="3" s="1"/>
  <c r="Z298" i="3" s="1"/>
  <c r="AA298" i="3" s="1"/>
  <c r="X299" i="3"/>
  <c r="W299" i="3" s="1"/>
  <c r="Y299" i="3" s="1"/>
  <c r="Z299" i="3" s="1"/>
  <c r="X300" i="3"/>
  <c r="W300" i="3" s="1"/>
  <c r="Y300" i="3" s="1"/>
  <c r="Z300" i="3" s="1"/>
  <c r="AA300" i="3" s="1"/>
  <c r="X301" i="3"/>
  <c r="W301" i="3" s="1"/>
  <c r="Y301" i="3" s="1"/>
  <c r="Z301" i="3" s="1"/>
  <c r="W302" i="3"/>
  <c r="Y302" i="3" s="1"/>
  <c r="Z302" i="3" s="1"/>
  <c r="AB302" i="3" s="1"/>
  <c r="X302" i="3"/>
  <c r="X303" i="3"/>
  <c r="W303" i="3" s="1"/>
  <c r="Y303" i="3" s="1"/>
  <c r="Z303" i="3" s="1"/>
  <c r="AA303" i="3" s="1"/>
  <c r="X304" i="3"/>
  <c r="W304" i="3" s="1"/>
  <c r="Y304" i="3" s="1"/>
  <c r="Z304" i="3" s="1"/>
  <c r="X305" i="3"/>
  <c r="W305" i="3" s="1"/>
  <c r="Y305" i="3" s="1"/>
  <c r="Z305" i="3" s="1"/>
  <c r="X306" i="3"/>
  <c r="W306" i="3" s="1"/>
  <c r="Y306" i="3" s="1"/>
  <c r="Z306" i="3" s="1"/>
  <c r="X307" i="3"/>
  <c r="W307" i="3" s="1"/>
  <c r="Y307" i="3" s="1"/>
  <c r="Z307" i="3" s="1"/>
  <c r="X308" i="3"/>
  <c r="W308" i="3" s="1"/>
  <c r="Y308" i="3" s="1"/>
  <c r="Z308" i="3" s="1"/>
  <c r="X309" i="3"/>
  <c r="W309" i="3" s="1"/>
  <c r="Y309" i="3" s="1"/>
  <c r="Z309" i="3" s="1"/>
  <c r="X310" i="3"/>
  <c r="W310" i="3" s="1"/>
  <c r="Y310" i="3" s="1"/>
  <c r="Z310" i="3" s="1"/>
  <c r="AA310" i="3" s="1"/>
  <c r="X311" i="3"/>
  <c r="W311" i="3" s="1"/>
  <c r="Y311" i="3" s="1"/>
  <c r="Z311" i="3" s="1"/>
  <c r="X312" i="3"/>
  <c r="W312" i="3" s="1"/>
  <c r="Y312" i="3" s="1"/>
  <c r="Z312" i="3" s="1"/>
  <c r="AB312" i="3" s="1"/>
  <c r="X313" i="3"/>
  <c r="W313" i="3" s="1"/>
  <c r="Y313" i="3" s="1"/>
  <c r="Z313" i="3" s="1"/>
  <c r="X314" i="3"/>
  <c r="W314" i="3" s="1"/>
  <c r="Y314" i="3" s="1"/>
  <c r="Z314" i="3" s="1"/>
  <c r="X315" i="3"/>
  <c r="W315" i="3" s="1"/>
  <c r="Y315" i="3" s="1"/>
  <c r="Z315" i="3" s="1"/>
  <c r="AA315" i="3" s="1"/>
  <c r="X316" i="3"/>
  <c r="W316" i="3" s="1"/>
  <c r="Y316" i="3" s="1"/>
  <c r="Z316" i="3" s="1"/>
  <c r="AA316" i="3" s="1"/>
  <c r="X317" i="3"/>
  <c r="W317" i="3" s="1"/>
  <c r="Y317" i="3" s="1"/>
  <c r="Z317" i="3" s="1"/>
  <c r="X318" i="3"/>
  <c r="W318" i="3" s="1"/>
  <c r="Y318" i="3" s="1"/>
  <c r="Z318" i="3" s="1"/>
  <c r="AA318" i="3" s="1"/>
  <c r="X319" i="3"/>
  <c r="W319" i="3" s="1"/>
  <c r="Y319" i="3" s="1"/>
  <c r="Z319" i="3" s="1"/>
  <c r="AA319" i="3" s="1"/>
  <c r="X320" i="3"/>
  <c r="W320" i="3" s="1"/>
  <c r="Y320" i="3" s="1"/>
  <c r="Z320" i="3" s="1"/>
  <c r="AB320" i="3" s="1"/>
  <c r="X321" i="3"/>
  <c r="W321" i="3" s="1"/>
  <c r="Y321" i="3" s="1"/>
  <c r="Z321" i="3" s="1"/>
  <c r="X322" i="3"/>
  <c r="W322" i="3" s="1"/>
  <c r="Y322" i="3" s="1"/>
  <c r="Z322" i="3" s="1"/>
  <c r="X323" i="3"/>
  <c r="W323" i="3" s="1"/>
  <c r="Y323" i="3" s="1"/>
  <c r="Z323" i="3" s="1"/>
  <c r="X324" i="3"/>
  <c r="W324" i="3" s="1"/>
  <c r="Y324" i="3" s="1"/>
  <c r="Z324" i="3" s="1"/>
  <c r="X325" i="3"/>
  <c r="W325" i="3" s="1"/>
  <c r="Y325" i="3" s="1"/>
  <c r="Z325" i="3" s="1"/>
  <c r="X326" i="3"/>
  <c r="W326" i="3" s="1"/>
  <c r="Y326" i="3" s="1"/>
  <c r="Z326" i="3" s="1"/>
  <c r="X327" i="3"/>
  <c r="W327" i="3" s="1"/>
  <c r="Y327" i="3" s="1"/>
  <c r="Z327" i="3" s="1"/>
  <c r="X328" i="3"/>
  <c r="W328" i="3" s="1"/>
  <c r="Y328" i="3" s="1"/>
  <c r="Z328" i="3" s="1"/>
  <c r="X329" i="3"/>
  <c r="W329" i="3" s="1"/>
  <c r="Y329" i="3" s="1"/>
  <c r="Z329" i="3" s="1"/>
  <c r="X330" i="3"/>
  <c r="W330" i="3" s="1"/>
  <c r="Y330" i="3" s="1"/>
  <c r="Z330" i="3" s="1"/>
  <c r="X331" i="3"/>
  <c r="W331" i="3" s="1"/>
  <c r="Y331" i="3" s="1"/>
  <c r="Z331" i="3" s="1"/>
  <c r="AA331" i="3" s="1"/>
  <c r="X332" i="3"/>
  <c r="W332" i="3" s="1"/>
  <c r="Y332" i="3" s="1"/>
  <c r="Z332" i="3" s="1"/>
  <c r="AA332" i="3" s="1"/>
  <c r="X333" i="3"/>
  <c r="W333" i="3" s="1"/>
  <c r="Y333" i="3" s="1"/>
  <c r="Z333" i="3" s="1"/>
  <c r="X334" i="3"/>
  <c r="W334" i="3" s="1"/>
  <c r="Y334" i="3" s="1"/>
  <c r="Z334" i="3" s="1"/>
  <c r="X335" i="3"/>
  <c r="W335" i="3" s="1"/>
  <c r="Y335" i="3" s="1"/>
  <c r="Z335" i="3" s="1"/>
  <c r="AA335" i="3" s="1"/>
  <c r="X336" i="3"/>
  <c r="W336" i="3" s="1"/>
  <c r="Y336" i="3" s="1"/>
  <c r="Z336" i="3" s="1"/>
  <c r="X337" i="3"/>
  <c r="W337" i="3" s="1"/>
  <c r="Y337" i="3" s="1"/>
  <c r="Z337" i="3" s="1"/>
  <c r="W338" i="3"/>
  <c r="Y338" i="3" s="1"/>
  <c r="Z338" i="3" s="1"/>
  <c r="X338" i="3"/>
  <c r="X339" i="3"/>
  <c r="W339" i="3" s="1"/>
  <c r="Y339" i="3" s="1"/>
  <c r="Z339" i="3" s="1"/>
  <c r="AB339" i="3" s="1"/>
  <c r="X340" i="3"/>
  <c r="W340" i="3" s="1"/>
  <c r="Y340" i="3" s="1"/>
  <c r="Z340" i="3" s="1"/>
  <c r="X341" i="3"/>
  <c r="W341" i="3" s="1"/>
  <c r="Y341" i="3" s="1"/>
  <c r="Z341" i="3" s="1"/>
  <c r="X342" i="3"/>
  <c r="W342" i="3" s="1"/>
  <c r="Y342" i="3" s="1"/>
  <c r="Z342" i="3" s="1"/>
  <c r="AB342" i="3" s="1"/>
  <c r="W343" i="3"/>
  <c r="Y343" i="3" s="1"/>
  <c r="Z343" i="3" s="1"/>
  <c r="AB343" i="3" s="1"/>
  <c r="X343" i="3"/>
  <c r="W344" i="3"/>
  <c r="Y344" i="3" s="1"/>
  <c r="Z344" i="3" s="1"/>
  <c r="X344" i="3"/>
  <c r="W345" i="3"/>
  <c r="Y345" i="3" s="1"/>
  <c r="Z345" i="3" s="1"/>
  <c r="X345" i="3"/>
  <c r="X346" i="3"/>
  <c r="W346" i="3" s="1"/>
  <c r="Y346" i="3" s="1"/>
  <c r="Z346" i="3" s="1"/>
  <c r="X347" i="3"/>
  <c r="W347" i="3" s="1"/>
  <c r="Y347" i="3" s="1"/>
  <c r="Z347" i="3" s="1"/>
  <c r="AB347" i="3" s="1"/>
  <c r="X348" i="3"/>
  <c r="W348" i="3" s="1"/>
  <c r="Y348" i="3" s="1"/>
  <c r="Z348" i="3" s="1"/>
  <c r="X349" i="3"/>
  <c r="W349" i="3" s="1"/>
  <c r="Y349" i="3" s="1"/>
  <c r="Z349" i="3" s="1"/>
  <c r="X350" i="3"/>
  <c r="W350" i="3" s="1"/>
  <c r="Y350" i="3" s="1"/>
  <c r="Z350" i="3" s="1"/>
  <c r="W351" i="3"/>
  <c r="Y351" i="3" s="1"/>
  <c r="Z351" i="3" s="1"/>
  <c r="AB351" i="3" s="1"/>
  <c r="X351" i="3"/>
  <c r="W352" i="3"/>
  <c r="Y352" i="3" s="1"/>
  <c r="Z352" i="3" s="1"/>
  <c r="X352" i="3"/>
  <c r="W353" i="3"/>
  <c r="Y353" i="3" s="1"/>
  <c r="Z353" i="3" s="1"/>
  <c r="X353" i="3"/>
  <c r="X354" i="3"/>
  <c r="W354" i="3" s="1"/>
  <c r="Y354" i="3" s="1"/>
  <c r="Z354" i="3" s="1"/>
  <c r="AB354" i="3" s="1"/>
  <c r="X355" i="3"/>
  <c r="W355" i="3" s="1"/>
  <c r="Y355" i="3" s="1"/>
  <c r="Z355" i="3" s="1"/>
  <c r="X356" i="3"/>
  <c r="W356" i="3" s="1"/>
  <c r="Y356" i="3" s="1"/>
  <c r="Z356" i="3" s="1"/>
  <c r="X357" i="3"/>
  <c r="W357" i="3" s="1"/>
  <c r="Y357" i="3" s="1"/>
  <c r="Z357" i="3" s="1"/>
  <c r="X358" i="3"/>
  <c r="W358" i="3" s="1"/>
  <c r="Y358" i="3" s="1"/>
  <c r="Z358" i="3" s="1"/>
  <c r="W359" i="3"/>
  <c r="Y359" i="3" s="1"/>
  <c r="Z359" i="3" s="1"/>
  <c r="AB359" i="3" s="1"/>
  <c r="X359" i="3"/>
  <c r="W360" i="3"/>
  <c r="Y360" i="3" s="1"/>
  <c r="Z360" i="3" s="1"/>
  <c r="AB360" i="3" s="1"/>
  <c r="X360" i="3"/>
  <c r="W361" i="3"/>
  <c r="Y361" i="3" s="1"/>
  <c r="Z361" i="3" s="1"/>
  <c r="X361" i="3"/>
  <c r="X362" i="3"/>
  <c r="W362" i="3" s="1"/>
  <c r="Y362" i="3" s="1"/>
  <c r="Z362" i="3" s="1"/>
  <c r="X363" i="3"/>
  <c r="W363" i="3" s="1"/>
  <c r="Y363" i="3" s="1"/>
  <c r="Z363" i="3" s="1"/>
  <c r="AB363" i="3" s="1"/>
  <c r="X364" i="3"/>
  <c r="W364" i="3" s="1"/>
  <c r="Y364" i="3" s="1"/>
  <c r="Z364" i="3" s="1"/>
  <c r="X365" i="3"/>
  <c r="W365" i="3" s="1"/>
  <c r="Y365" i="3" s="1"/>
  <c r="Z365" i="3" s="1"/>
  <c r="X366" i="3"/>
  <c r="W366" i="3" s="1"/>
  <c r="Y366" i="3" s="1"/>
  <c r="Z366" i="3" s="1"/>
  <c r="AB366" i="3" s="1"/>
  <c r="W367" i="3"/>
  <c r="Y367" i="3" s="1"/>
  <c r="Z367" i="3" s="1"/>
  <c r="X367" i="3"/>
  <c r="W368" i="3"/>
  <c r="Y368" i="3" s="1"/>
  <c r="Z368" i="3" s="1"/>
  <c r="X368" i="3"/>
  <c r="W369" i="3"/>
  <c r="Y369" i="3" s="1"/>
  <c r="Z369" i="3" s="1"/>
  <c r="AB369" i="3" s="1"/>
  <c r="X369" i="3"/>
  <c r="X370" i="3"/>
  <c r="W370" i="3" s="1"/>
  <c r="Y370" i="3" s="1"/>
  <c r="Z370" i="3" s="1"/>
  <c r="X371" i="3"/>
  <c r="W371" i="3" s="1"/>
  <c r="Y371" i="3" s="1"/>
  <c r="Z371" i="3" s="1"/>
  <c r="AB371" i="3" s="1"/>
  <c r="X372" i="3"/>
  <c r="W372" i="3" s="1"/>
  <c r="Y372" i="3" s="1"/>
  <c r="Z372" i="3" s="1"/>
  <c r="X373" i="3"/>
  <c r="W373" i="3" s="1"/>
  <c r="Y373" i="3" s="1"/>
  <c r="Z373" i="3" s="1"/>
  <c r="X374" i="3"/>
  <c r="W374" i="3" s="1"/>
  <c r="Y374" i="3" s="1"/>
  <c r="Z374" i="3" s="1"/>
  <c r="AB374" i="3" s="1"/>
  <c r="W375" i="3"/>
  <c r="Y375" i="3" s="1"/>
  <c r="Z375" i="3" s="1"/>
  <c r="X375" i="3"/>
  <c r="W376" i="3"/>
  <c r="Y376" i="3" s="1"/>
  <c r="Z376" i="3" s="1"/>
  <c r="AB376" i="3" s="1"/>
  <c r="X376" i="3"/>
  <c r="W377" i="3"/>
  <c r="Y377" i="3" s="1"/>
  <c r="Z377" i="3" s="1"/>
  <c r="X377" i="3"/>
  <c r="X378" i="3"/>
  <c r="W378" i="3" s="1"/>
  <c r="Y378" i="3" s="1"/>
  <c r="Z378" i="3" s="1"/>
  <c r="X379" i="3"/>
  <c r="W379" i="3" s="1"/>
  <c r="Y379" i="3" s="1"/>
  <c r="Z379" i="3" s="1"/>
  <c r="AB379" i="3" s="1"/>
  <c r="X380" i="3"/>
  <c r="W380" i="3" s="1"/>
  <c r="Y380" i="3" s="1"/>
  <c r="Z380" i="3" s="1"/>
  <c r="X381" i="3"/>
  <c r="W381" i="3" s="1"/>
  <c r="Y381" i="3" s="1"/>
  <c r="Z381" i="3" s="1"/>
  <c r="X382" i="3"/>
  <c r="W382" i="3" s="1"/>
  <c r="Y382" i="3" s="1"/>
  <c r="Z382" i="3" s="1"/>
  <c r="W383" i="3"/>
  <c r="Y383" i="3" s="1"/>
  <c r="Z383" i="3" s="1"/>
  <c r="AB383" i="3" s="1"/>
  <c r="X383" i="3"/>
  <c r="W384" i="3"/>
  <c r="Y384" i="3" s="1"/>
  <c r="Z384" i="3" s="1"/>
  <c r="X384" i="3"/>
  <c r="W385" i="3"/>
  <c r="Y385" i="3" s="1"/>
  <c r="Z385" i="3" s="1"/>
  <c r="AB385" i="3" s="1"/>
  <c r="X385" i="3"/>
  <c r="X386" i="3"/>
  <c r="W386" i="3" s="1"/>
  <c r="Y386" i="3" s="1"/>
  <c r="Z386" i="3" s="1"/>
  <c r="AB386" i="3" s="1"/>
  <c r="X387" i="3"/>
  <c r="W387" i="3" s="1"/>
  <c r="Y387" i="3" s="1"/>
  <c r="Z387" i="3" s="1"/>
  <c r="AB387" i="3" s="1"/>
  <c r="X388" i="3"/>
  <c r="W388" i="3" s="1"/>
  <c r="Y388" i="3" s="1"/>
  <c r="Z388" i="3" s="1"/>
  <c r="X389" i="3"/>
  <c r="W389" i="3" s="1"/>
  <c r="Y389" i="3" s="1"/>
  <c r="Z389" i="3" s="1"/>
  <c r="X390" i="3"/>
  <c r="W390" i="3" s="1"/>
  <c r="Y390" i="3" s="1"/>
  <c r="Z390" i="3" s="1"/>
  <c r="AB390" i="3" s="1"/>
  <c r="W391" i="3"/>
  <c r="Y391" i="3" s="1"/>
  <c r="Z391" i="3" s="1"/>
  <c r="AB391" i="3" s="1"/>
  <c r="X391" i="3"/>
  <c r="W392" i="3"/>
  <c r="Y392" i="3" s="1"/>
  <c r="Z392" i="3" s="1"/>
  <c r="AB392" i="3" s="1"/>
  <c r="X392" i="3"/>
  <c r="W393" i="3"/>
  <c r="Y393" i="3" s="1"/>
  <c r="Z393" i="3" s="1"/>
  <c r="X393" i="3"/>
  <c r="X394" i="3"/>
  <c r="W394" i="3" s="1"/>
  <c r="Y394" i="3" s="1"/>
  <c r="Z394" i="3" s="1"/>
  <c r="X395" i="3"/>
  <c r="W395" i="3" s="1"/>
  <c r="Y395" i="3" s="1"/>
  <c r="Z395" i="3" s="1"/>
  <c r="X396" i="3"/>
  <c r="W396" i="3" s="1"/>
  <c r="Y396" i="3" s="1"/>
  <c r="Z396" i="3" s="1"/>
  <c r="X397" i="3"/>
  <c r="W397" i="3" s="1"/>
  <c r="Y397" i="3" s="1"/>
  <c r="Z397" i="3" s="1"/>
  <c r="X398" i="3"/>
  <c r="W398" i="3" s="1"/>
  <c r="Y398" i="3" s="1"/>
  <c r="Z398" i="3" s="1"/>
  <c r="W399" i="3"/>
  <c r="Y399" i="3" s="1"/>
  <c r="Z399" i="3" s="1"/>
  <c r="AA399" i="3" s="1"/>
  <c r="X399" i="3"/>
  <c r="W400" i="3"/>
  <c r="Y400" i="3" s="1"/>
  <c r="Z400" i="3" s="1"/>
  <c r="X400" i="3"/>
  <c r="W401" i="3"/>
  <c r="Y401" i="3" s="1"/>
  <c r="Z401" i="3" s="1"/>
  <c r="X401" i="3"/>
  <c r="X402" i="3"/>
  <c r="W402" i="3" s="1"/>
  <c r="Y402" i="3" s="1"/>
  <c r="Z402" i="3" s="1"/>
  <c r="X403" i="3"/>
  <c r="W403" i="3" s="1"/>
  <c r="Y403" i="3" s="1"/>
  <c r="Z403" i="3" s="1"/>
  <c r="X404" i="3"/>
  <c r="W404" i="3" s="1"/>
  <c r="Y404" i="3" s="1"/>
  <c r="Z404" i="3" s="1"/>
  <c r="X405" i="3"/>
  <c r="W405" i="3" s="1"/>
  <c r="Y405" i="3" s="1"/>
  <c r="Z405" i="3" s="1"/>
  <c r="X406" i="3"/>
  <c r="W406" i="3" s="1"/>
  <c r="Y406" i="3" s="1"/>
  <c r="Z406" i="3" s="1"/>
  <c r="W407" i="3"/>
  <c r="Y407" i="3" s="1"/>
  <c r="Z407" i="3" s="1"/>
  <c r="AA407" i="3" s="1"/>
  <c r="X407" i="3"/>
  <c r="W408" i="3"/>
  <c r="Y408" i="3" s="1"/>
  <c r="Z408" i="3" s="1"/>
  <c r="X408" i="3"/>
  <c r="W409" i="3"/>
  <c r="Y409" i="3" s="1"/>
  <c r="Z409" i="3" s="1"/>
  <c r="X409" i="3"/>
  <c r="X410" i="3"/>
  <c r="W410" i="3" s="1"/>
  <c r="Y410" i="3" s="1"/>
  <c r="Z410" i="3" s="1"/>
  <c r="X411" i="3"/>
  <c r="W411" i="3" s="1"/>
  <c r="Y411" i="3" s="1"/>
  <c r="Z411" i="3" s="1"/>
  <c r="X412" i="3"/>
  <c r="W412" i="3" s="1"/>
  <c r="Y412" i="3" s="1"/>
  <c r="Z412" i="3" s="1"/>
  <c r="X413" i="3"/>
  <c r="W413" i="3" s="1"/>
  <c r="Y413" i="3" s="1"/>
  <c r="Z413" i="3" s="1"/>
  <c r="AB413" i="3" s="1"/>
  <c r="X414" i="3"/>
  <c r="W414" i="3" s="1"/>
  <c r="Y414" i="3" s="1"/>
  <c r="Z414" i="3" s="1"/>
  <c r="X415" i="3"/>
  <c r="W415" i="3" s="1"/>
  <c r="Y415" i="3" s="1"/>
  <c r="Z415" i="3" s="1"/>
  <c r="X416" i="3"/>
  <c r="W416" i="3" s="1"/>
  <c r="Y416" i="3" s="1"/>
  <c r="Z416" i="3" s="1"/>
  <c r="X417" i="3"/>
  <c r="W417" i="3" s="1"/>
  <c r="Y417" i="3" s="1"/>
  <c r="Z417" i="3" s="1"/>
  <c r="X418" i="3"/>
  <c r="W418" i="3" s="1"/>
  <c r="Y418" i="3" s="1"/>
  <c r="Z418" i="3" s="1"/>
  <c r="X419" i="3"/>
  <c r="W419" i="3" s="1"/>
  <c r="Y419" i="3" s="1"/>
  <c r="Z419" i="3" s="1"/>
  <c r="AB419" i="3" s="1"/>
  <c r="W420" i="3"/>
  <c r="Y420" i="3" s="1"/>
  <c r="Z420" i="3" s="1"/>
  <c r="X420" i="3"/>
  <c r="X421" i="3"/>
  <c r="W421" i="3" s="1"/>
  <c r="Y421" i="3" s="1"/>
  <c r="Z421" i="3" s="1"/>
  <c r="X422" i="3"/>
  <c r="W422" i="3" s="1"/>
  <c r="Y422" i="3" s="1"/>
  <c r="Z422" i="3" s="1"/>
  <c r="X423" i="3"/>
  <c r="W423" i="3" s="1"/>
  <c r="Y423" i="3" s="1"/>
  <c r="Z423" i="3" s="1"/>
  <c r="AA423" i="3" s="1"/>
  <c r="X424" i="3"/>
  <c r="W424" i="3" s="1"/>
  <c r="Y424" i="3" s="1"/>
  <c r="Z424" i="3" s="1"/>
  <c r="X425" i="3"/>
  <c r="W425" i="3" s="1"/>
  <c r="Y425" i="3" s="1"/>
  <c r="Z425" i="3" s="1"/>
  <c r="X426" i="3"/>
  <c r="W426" i="3" s="1"/>
  <c r="Y426" i="3" s="1"/>
  <c r="Z426" i="3" s="1"/>
  <c r="AB426" i="3" s="1"/>
  <c r="X427" i="3"/>
  <c r="W427" i="3" s="1"/>
  <c r="Y427" i="3" s="1"/>
  <c r="Z427" i="3" s="1"/>
  <c r="W428" i="3"/>
  <c r="Y428" i="3" s="1"/>
  <c r="Z428" i="3" s="1"/>
  <c r="X428" i="3"/>
  <c r="X429" i="3"/>
  <c r="W429" i="3" s="1"/>
  <c r="Y429" i="3" s="1"/>
  <c r="Z429" i="3" s="1"/>
  <c r="X430" i="3"/>
  <c r="W430" i="3" s="1"/>
  <c r="Y430" i="3" s="1"/>
  <c r="Z430" i="3" s="1"/>
  <c r="X431" i="3"/>
  <c r="W431" i="3" s="1"/>
  <c r="Y431" i="3" s="1"/>
  <c r="Z431" i="3" s="1"/>
  <c r="AB431" i="3" s="1"/>
  <c r="X432" i="3"/>
  <c r="W432" i="3" s="1"/>
  <c r="Y432" i="3" s="1"/>
  <c r="Z432" i="3" s="1"/>
  <c r="X433" i="3"/>
  <c r="W433" i="3" s="1"/>
  <c r="Y433" i="3" s="1"/>
  <c r="Z433" i="3" s="1"/>
  <c r="W434" i="3"/>
  <c r="Y434" i="3" s="1"/>
  <c r="Z434" i="3" s="1"/>
  <c r="X434" i="3"/>
  <c r="W435" i="3"/>
  <c r="Y435" i="3" s="1"/>
  <c r="Z435" i="3" s="1"/>
  <c r="X435" i="3"/>
  <c r="W436" i="3"/>
  <c r="Y436" i="3" s="1"/>
  <c r="Z436" i="3" s="1"/>
  <c r="X436" i="3"/>
  <c r="X437" i="3"/>
  <c r="W437" i="3" s="1"/>
  <c r="Y437" i="3" s="1"/>
  <c r="Z437" i="3" s="1"/>
  <c r="X438" i="3"/>
  <c r="W438" i="3" s="1"/>
  <c r="Y438" i="3" s="1"/>
  <c r="Z438" i="3" s="1"/>
  <c r="AB438" i="3" s="1"/>
  <c r="X439" i="3"/>
  <c r="W439" i="3" s="1"/>
  <c r="Y439" i="3" s="1"/>
  <c r="Z439" i="3" s="1"/>
  <c r="AA439" i="3" s="1"/>
  <c r="X440" i="3"/>
  <c r="W440" i="3" s="1"/>
  <c r="Y440" i="3" s="1"/>
  <c r="Z440" i="3" s="1"/>
  <c r="X441" i="3"/>
  <c r="W441" i="3" s="1"/>
  <c r="Y441" i="3" s="1"/>
  <c r="Z441" i="3" s="1"/>
  <c r="W442" i="3"/>
  <c r="Y442" i="3" s="1"/>
  <c r="Z442" i="3" s="1"/>
  <c r="AB442" i="3" s="1"/>
  <c r="X442" i="3"/>
  <c r="W443" i="3"/>
  <c r="Y443" i="3" s="1"/>
  <c r="Z443" i="3" s="1"/>
  <c r="X443" i="3"/>
  <c r="W444" i="3"/>
  <c r="Y444" i="3" s="1"/>
  <c r="Z444" i="3" s="1"/>
  <c r="X444" i="3"/>
  <c r="X445" i="3"/>
  <c r="W445" i="3" s="1"/>
  <c r="Y445" i="3" s="1"/>
  <c r="Z445" i="3" s="1"/>
  <c r="X446" i="3"/>
  <c r="W446" i="3" s="1"/>
  <c r="Y446" i="3" s="1"/>
  <c r="Z446" i="3" s="1"/>
  <c r="AB446" i="3" s="1"/>
  <c r="X447" i="3"/>
  <c r="W447" i="3" s="1"/>
  <c r="Y447" i="3" s="1"/>
  <c r="Z447" i="3" s="1"/>
  <c r="AB447" i="3" s="1"/>
  <c r="X448" i="3"/>
  <c r="W448" i="3" s="1"/>
  <c r="Y448" i="3" s="1"/>
  <c r="Z448" i="3" s="1"/>
  <c r="W449" i="3"/>
  <c r="Y449" i="3" s="1"/>
  <c r="Z449" i="3" s="1"/>
  <c r="X449" i="3"/>
  <c r="X450" i="3"/>
  <c r="W450" i="3" s="1"/>
  <c r="Y450" i="3" s="1"/>
  <c r="Z450" i="3" s="1"/>
  <c r="X451" i="3"/>
  <c r="W451" i="3" s="1"/>
  <c r="Y451" i="3" s="1"/>
  <c r="Z451" i="3" s="1"/>
  <c r="X452" i="3"/>
  <c r="W452" i="3" s="1"/>
  <c r="Y452" i="3" s="1"/>
  <c r="Z452" i="3" s="1"/>
  <c r="X453" i="3"/>
  <c r="W453" i="3" s="1"/>
  <c r="Y453" i="3" s="1"/>
  <c r="Z453" i="3" s="1"/>
  <c r="X454" i="3"/>
  <c r="W454" i="3" s="1"/>
  <c r="Y454" i="3" s="1"/>
  <c r="Z454" i="3" s="1"/>
  <c r="X455" i="3"/>
  <c r="W455" i="3" s="1"/>
  <c r="Y455" i="3" s="1"/>
  <c r="Z455" i="3" s="1"/>
  <c r="AB455" i="3" s="1"/>
  <c r="X456" i="3"/>
  <c r="W456" i="3" s="1"/>
  <c r="Y456" i="3" s="1"/>
  <c r="Z456" i="3" s="1"/>
  <c r="W457" i="3"/>
  <c r="Y457" i="3" s="1"/>
  <c r="Z457" i="3" s="1"/>
  <c r="AB457" i="3" s="1"/>
  <c r="X457" i="3"/>
  <c r="X458" i="3"/>
  <c r="W458" i="3" s="1"/>
  <c r="Y458" i="3" s="1"/>
  <c r="Z458" i="3" s="1"/>
  <c r="X459" i="3"/>
  <c r="W459" i="3" s="1"/>
  <c r="Y459" i="3" s="1"/>
  <c r="Z459" i="3" s="1"/>
  <c r="X460" i="3"/>
  <c r="W460" i="3" s="1"/>
  <c r="Y460" i="3" s="1"/>
  <c r="Z460" i="3" s="1"/>
  <c r="X461" i="3"/>
  <c r="W461" i="3" s="1"/>
  <c r="Y461" i="3" s="1"/>
  <c r="Z461" i="3" s="1"/>
  <c r="X462" i="3"/>
  <c r="W462" i="3" s="1"/>
  <c r="Y462" i="3" s="1"/>
  <c r="Z462" i="3" s="1"/>
  <c r="X463" i="3"/>
  <c r="W463" i="3" s="1"/>
  <c r="Y463" i="3" s="1"/>
  <c r="Z463" i="3" s="1"/>
  <c r="X464" i="3"/>
  <c r="W464" i="3" s="1"/>
  <c r="Y464" i="3" s="1"/>
  <c r="Z464" i="3" s="1"/>
  <c r="AB464" i="3" s="1"/>
  <c r="W465" i="3"/>
  <c r="Y465" i="3" s="1"/>
  <c r="Z465" i="3" s="1"/>
  <c r="X465" i="3"/>
  <c r="X466" i="3"/>
  <c r="W466" i="3" s="1"/>
  <c r="Y466" i="3" s="1"/>
  <c r="Z466" i="3" s="1"/>
  <c r="X467" i="3"/>
  <c r="W467" i="3" s="1"/>
  <c r="Y467" i="3" s="1"/>
  <c r="Z467" i="3" s="1"/>
  <c r="AB467" i="3" s="1"/>
  <c r="X468" i="3"/>
  <c r="W468" i="3" s="1"/>
  <c r="Y468" i="3" s="1"/>
  <c r="Z468" i="3" s="1"/>
  <c r="X469" i="3"/>
  <c r="W469" i="3" s="1"/>
  <c r="Y469" i="3" s="1"/>
  <c r="Z469" i="3" s="1"/>
  <c r="X470" i="3"/>
  <c r="W470" i="3" s="1"/>
  <c r="Y470" i="3" s="1"/>
  <c r="Z470" i="3" s="1"/>
  <c r="AB470" i="3" s="1"/>
  <c r="X471" i="3"/>
  <c r="W471" i="3" s="1"/>
  <c r="Y471" i="3" s="1"/>
  <c r="Z471" i="3" s="1"/>
  <c r="X472" i="3"/>
  <c r="W472" i="3" s="1"/>
  <c r="Y472" i="3" s="1"/>
  <c r="Z472" i="3" s="1"/>
  <c r="W473" i="3"/>
  <c r="Y473" i="3" s="1"/>
  <c r="Z473" i="3" s="1"/>
  <c r="AB473" i="3" s="1"/>
  <c r="X473" i="3"/>
  <c r="X474" i="3"/>
  <c r="W474" i="3" s="1"/>
  <c r="Y474" i="3" s="1"/>
  <c r="Z474" i="3" s="1"/>
  <c r="AB474" i="3" s="1"/>
  <c r="X475" i="3"/>
  <c r="W475" i="3" s="1"/>
  <c r="Y475" i="3" s="1"/>
  <c r="Z475" i="3" s="1"/>
  <c r="X476" i="3"/>
  <c r="W476" i="3" s="1"/>
  <c r="Y476" i="3" s="1"/>
  <c r="Z476" i="3" s="1"/>
  <c r="X477" i="3"/>
  <c r="W477" i="3" s="1"/>
  <c r="Y477" i="3" s="1"/>
  <c r="Z477" i="3" s="1"/>
  <c r="X478" i="3"/>
  <c r="W478" i="3" s="1"/>
  <c r="Y478" i="3" s="1"/>
  <c r="Z478" i="3" s="1"/>
  <c r="X479" i="3"/>
  <c r="W479" i="3" s="1"/>
  <c r="Y479" i="3" s="1"/>
  <c r="Z479" i="3" s="1"/>
  <c r="AA479" i="3" s="1"/>
  <c r="X480" i="3"/>
  <c r="W480" i="3" s="1"/>
  <c r="Y480" i="3" s="1"/>
  <c r="Z480" i="3" s="1"/>
  <c r="X481" i="3"/>
  <c r="W481" i="3" s="1"/>
  <c r="Y481" i="3" s="1"/>
  <c r="Z481" i="3" s="1"/>
  <c r="X482" i="3"/>
  <c r="W482" i="3" s="1"/>
  <c r="Y482" i="3" s="1"/>
  <c r="Z482" i="3" s="1"/>
  <c r="X483" i="3"/>
  <c r="W483" i="3" s="1"/>
  <c r="Y483" i="3" s="1"/>
  <c r="Z483" i="3" s="1"/>
  <c r="X484" i="3"/>
  <c r="W484" i="3" s="1"/>
  <c r="Y484" i="3" s="1"/>
  <c r="Z484" i="3" s="1"/>
  <c r="AB484" i="3" s="1"/>
  <c r="X485" i="3"/>
  <c r="W485" i="3" s="1"/>
  <c r="Y485" i="3" s="1"/>
  <c r="Z485" i="3" s="1"/>
  <c r="X486" i="3"/>
  <c r="W486" i="3" s="1"/>
  <c r="Y486" i="3" s="1"/>
  <c r="Z486" i="3" s="1"/>
  <c r="X487" i="3"/>
  <c r="W487" i="3" s="1"/>
  <c r="Y487" i="3" s="1"/>
  <c r="Z487" i="3" s="1"/>
  <c r="AA487" i="3" s="1"/>
  <c r="X488" i="3"/>
  <c r="W488" i="3" s="1"/>
  <c r="Y488" i="3" s="1"/>
  <c r="Z488" i="3" s="1"/>
  <c r="X489" i="3"/>
  <c r="W489" i="3" s="1"/>
  <c r="Y489" i="3" s="1"/>
  <c r="Z489" i="3" s="1"/>
  <c r="X490" i="3"/>
  <c r="W490" i="3" s="1"/>
  <c r="Y490" i="3" s="1"/>
  <c r="Z490" i="3" s="1"/>
  <c r="X491" i="3"/>
  <c r="W491" i="3" s="1"/>
  <c r="Y491" i="3" s="1"/>
  <c r="Z491" i="3" s="1"/>
  <c r="X492" i="3"/>
  <c r="W492" i="3" s="1"/>
  <c r="Y492" i="3" s="1"/>
  <c r="Z492" i="3" s="1"/>
  <c r="AB492" i="3" s="1"/>
  <c r="X493" i="3"/>
  <c r="W493" i="3" s="1"/>
  <c r="Y493" i="3" s="1"/>
  <c r="Z493" i="3" s="1"/>
  <c r="X494" i="3"/>
  <c r="W494" i="3" s="1"/>
  <c r="Y494" i="3" s="1"/>
  <c r="Z494" i="3" s="1"/>
  <c r="X495" i="3"/>
  <c r="W495" i="3" s="1"/>
  <c r="Y495" i="3" s="1"/>
  <c r="Z495" i="3" s="1"/>
  <c r="AA495" i="3" s="1"/>
  <c r="X496" i="3"/>
  <c r="W496" i="3" s="1"/>
  <c r="Y496" i="3" s="1"/>
  <c r="Z496" i="3" s="1"/>
  <c r="X497" i="3"/>
  <c r="W497" i="3" s="1"/>
  <c r="Y497" i="3" s="1"/>
  <c r="Z497" i="3" s="1"/>
  <c r="X498" i="3"/>
  <c r="W498" i="3" s="1"/>
  <c r="Y498" i="3" s="1"/>
  <c r="Z498" i="3" s="1"/>
  <c r="X499" i="3"/>
  <c r="W499" i="3" s="1"/>
  <c r="Y499" i="3" s="1"/>
  <c r="Z499" i="3" s="1"/>
  <c r="X500" i="3"/>
  <c r="W500" i="3" s="1"/>
  <c r="Y500" i="3" s="1"/>
  <c r="Z500" i="3" s="1"/>
  <c r="X501" i="3"/>
  <c r="W501" i="3" s="1"/>
  <c r="Y501" i="3" s="1"/>
  <c r="Z501" i="3" s="1"/>
  <c r="W502" i="3"/>
  <c r="Y502" i="3" s="1"/>
  <c r="Z502" i="3" s="1"/>
  <c r="X502" i="3"/>
  <c r="X503" i="3"/>
  <c r="W503" i="3" s="1"/>
  <c r="Y503" i="3" s="1"/>
  <c r="Z503" i="3" s="1"/>
  <c r="AB503" i="3" s="1"/>
  <c r="X504" i="3"/>
  <c r="W504" i="3" s="1"/>
  <c r="Y504" i="3" s="1"/>
  <c r="Z504" i="3" s="1"/>
  <c r="X505" i="3"/>
  <c r="W505" i="3" s="1"/>
  <c r="Y505" i="3" s="1"/>
  <c r="Z505" i="3" s="1"/>
  <c r="AB505" i="3" s="1"/>
  <c r="X506" i="3"/>
  <c r="W506" i="3" s="1"/>
  <c r="Y506" i="3" s="1"/>
  <c r="Z506" i="3" s="1"/>
  <c r="X507" i="3"/>
  <c r="W507" i="3" s="1"/>
  <c r="Y507" i="3" s="1"/>
  <c r="Z507" i="3" s="1"/>
  <c r="W508" i="3"/>
  <c r="Y508" i="3" s="1"/>
  <c r="Z508" i="3" s="1"/>
  <c r="X508" i="3"/>
  <c r="X509" i="3"/>
  <c r="W509" i="3" s="1"/>
  <c r="Y509" i="3" s="1"/>
  <c r="Z509" i="3" s="1"/>
  <c r="AB509" i="3" s="1"/>
  <c r="X510" i="3"/>
  <c r="W510" i="3" s="1"/>
  <c r="Y510" i="3" s="1"/>
  <c r="Z510" i="3" s="1"/>
  <c r="W511" i="3"/>
  <c r="Y511" i="3" s="1"/>
  <c r="Z511" i="3" s="1"/>
  <c r="X511" i="3"/>
  <c r="X512" i="3"/>
  <c r="W512" i="3" s="1"/>
  <c r="Y512" i="3" s="1"/>
  <c r="Z512" i="3" s="1"/>
  <c r="X513" i="3"/>
  <c r="W513" i="3" s="1"/>
  <c r="Y513" i="3" s="1"/>
  <c r="Z513" i="3" s="1"/>
  <c r="AB513" i="3" s="1"/>
  <c r="W514" i="3"/>
  <c r="Y514" i="3" s="1"/>
  <c r="Z514" i="3" s="1"/>
  <c r="X514" i="3"/>
  <c r="W515" i="3"/>
  <c r="Y515" i="3" s="1"/>
  <c r="Z515" i="3" s="1"/>
  <c r="AB515" i="3" s="1"/>
  <c r="X515" i="3"/>
  <c r="X516" i="3"/>
  <c r="W516" i="3" s="1"/>
  <c r="Y516" i="3" s="1"/>
  <c r="Z516" i="3" s="1"/>
  <c r="X517" i="3"/>
  <c r="W517" i="3" s="1"/>
  <c r="Y517" i="3" s="1"/>
  <c r="Z517" i="3" s="1"/>
  <c r="AB517" i="3" s="1"/>
  <c r="X518" i="3"/>
  <c r="W518" i="3" s="1"/>
  <c r="Y518" i="3" s="1"/>
  <c r="Z518" i="3" s="1"/>
  <c r="X519" i="3"/>
  <c r="W519" i="3" s="1"/>
  <c r="Y519" i="3" s="1"/>
  <c r="Z519" i="3" s="1"/>
  <c r="AB519" i="3" s="1"/>
  <c r="W520" i="3"/>
  <c r="Y520" i="3" s="1"/>
  <c r="Z520" i="3" s="1"/>
  <c r="X520" i="3"/>
  <c r="X521" i="3"/>
  <c r="W521" i="3" s="1"/>
  <c r="Y521" i="3" s="1"/>
  <c r="Z521" i="3" s="1"/>
  <c r="AB521" i="3" s="1"/>
  <c r="X522" i="3"/>
  <c r="W522" i="3" s="1"/>
  <c r="Y522" i="3" s="1"/>
  <c r="Z522" i="3" s="1"/>
  <c r="X523" i="3"/>
  <c r="W523" i="3" s="1"/>
  <c r="Y523" i="3" s="1"/>
  <c r="Z523" i="3" s="1"/>
  <c r="X524" i="3"/>
  <c r="W524" i="3" s="1"/>
  <c r="Y524" i="3" s="1"/>
  <c r="Z524" i="3" s="1"/>
  <c r="X525" i="3"/>
  <c r="W525" i="3" s="1"/>
  <c r="Y525" i="3" s="1"/>
  <c r="Z525" i="3" s="1"/>
  <c r="X526" i="3"/>
  <c r="W526" i="3" s="1"/>
  <c r="Y526" i="3" s="1"/>
  <c r="Z526" i="3" s="1"/>
  <c r="X527" i="3"/>
  <c r="W527" i="3" s="1"/>
  <c r="Y527" i="3" s="1"/>
  <c r="Z527" i="3" s="1"/>
  <c r="X528" i="3"/>
  <c r="W528" i="3" s="1"/>
  <c r="Y528" i="3" s="1"/>
  <c r="Z528" i="3" s="1"/>
  <c r="X529" i="3"/>
  <c r="W529" i="3" s="1"/>
  <c r="Y529" i="3" s="1"/>
  <c r="Z529" i="3" s="1"/>
  <c r="AB529" i="3" s="1"/>
  <c r="X530" i="3"/>
  <c r="W530" i="3" s="1"/>
  <c r="Y530" i="3" s="1"/>
  <c r="Z530" i="3" s="1"/>
  <c r="X531" i="3"/>
  <c r="W531" i="3" s="1"/>
  <c r="Y531" i="3" s="1"/>
  <c r="Z531" i="3" s="1"/>
  <c r="X532" i="3"/>
  <c r="W532" i="3" s="1"/>
  <c r="Y532" i="3" s="1"/>
  <c r="Z532" i="3" s="1"/>
  <c r="X533" i="3"/>
  <c r="W533" i="3" s="1"/>
  <c r="Y533" i="3" s="1"/>
  <c r="Z533" i="3" s="1"/>
  <c r="AB533" i="3" s="1"/>
  <c r="W534" i="3"/>
  <c r="Y534" i="3" s="1"/>
  <c r="Z534" i="3" s="1"/>
  <c r="X534" i="3"/>
  <c r="X535" i="3"/>
  <c r="W535" i="3" s="1"/>
  <c r="Y535" i="3" s="1"/>
  <c r="Z535" i="3" s="1"/>
  <c r="X536" i="3"/>
  <c r="W536" i="3" s="1"/>
  <c r="Y536" i="3" s="1"/>
  <c r="Z536" i="3" s="1"/>
  <c r="X537" i="3"/>
  <c r="W537" i="3" s="1"/>
  <c r="Y537" i="3" s="1"/>
  <c r="Z537" i="3" s="1"/>
  <c r="X538" i="3"/>
  <c r="W538" i="3" s="1"/>
  <c r="Y538" i="3" s="1"/>
  <c r="Z538" i="3" s="1"/>
  <c r="X539" i="3"/>
  <c r="W539" i="3" s="1"/>
  <c r="Y539" i="3" s="1"/>
  <c r="Z539" i="3" s="1"/>
  <c r="AB539" i="3" s="1"/>
  <c r="W540" i="3"/>
  <c r="Y540" i="3" s="1"/>
  <c r="Z540" i="3" s="1"/>
  <c r="X540" i="3"/>
  <c r="X541" i="3"/>
  <c r="W541" i="3" s="1"/>
  <c r="Y541" i="3" s="1"/>
  <c r="Z541" i="3" s="1"/>
  <c r="X542" i="3"/>
  <c r="W542" i="3" s="1"/>
  <c r="Y542" i="3" s="1"/>
  <c r="Z542" i="3" s="1"/>
  <c r="W543" i="3"/>
  <c r="Y543" i="3" s="1"/>
  <c r="Z543" i="3" s="1"/>
  <c r="X543" i="3"/>
  <c r="X544" i="3"/>
  <c r="W544" i="3" s="1"/>
  <c r="Y544" i="3" s="1"/>
  <c r="Z544" i="3" s="1"/>
  <c r="X545" i="3"/>
  <c r="W545" i="3" s="1"/>
  <c r="Y545" i="3" s="1"/>
  <c r="Z545" i="3" s="1"/>
  <c r="AB545" i="3" s="1"/>
  <c r="W546" i="3"/>
  <c r="Y546" i="3" s="1"/>
  <c r="Z546" i="3" s="1"/>
  <c r="X546" i="3"/>
  <c r="W547" i="3"/>
  <c r="Y547" i="3" s="1"/>
  <c r="Z547" i="3" s="1"/>
  <c r="AA547" i="3" s="1"/>
  <c r="X547" i="3"/>
  <c r="X548" i="3"/>
  <c r="W548" i="3" s="1"/>
  <c r="Y548" i="3" s="1"/>
  <c r="Z548" i="3" s="1"/>
  <c r="X549" i="3"/>
  <c r="W549" i="3" s="1"/>
  <c r="Y549" i="3" s="1"/>
  <c r="Z549" i="3" s="1"/>
  <c r="AB549" i="3" s="1"/>
  <c r="X550" i="3"/>
  <c r="W550" i="3" s="1"/>
  <c r="Y550" i="3" s="1"/>
  <c r="Z550" i="3" s="1"/>
  <c r="X551" i="3"/>
  <c r="W551" i="3" s="1"/>
  <c r="Y551" i="3" s="1"/>
  <c r="Z551" i="3" s="1"/>
  <c r="AA551" i="3" s="1"/>
  <c r="W552" i="3"/>
  <c r="Y552" i="3" s="1"/>
  <c r="Z552" i="3" s="1"/>
  <c r="X552" i="3"/>
  <c r="X553" i="3"/>
  <c r="W553" i="3" s="1"/>
  <c r="Y553" i="3" s="1"/>
  <c r="Z553" i="3" s="1"/>
  <c r="AB553" i="3" s="1"/>
  <c r="X554" i="3"/>
  <c r="W554" i="3" s="1"/>
  <c r="Y554" i="3" s="1"/>
  <c r="Z554" i="3" s="1"/>
  <c r="X555" i="3"/>
  <c r="W555" i="3" s="1"/>
  <c r="Y555" i="3" s="1"/>
  <c r="Z555" i="3" s="1"/>
  <c r="X556" i="3"/>
  <c r="W556" i="3" s="1"/>
  <c r="Y556" i="3" s="1"/>
  <c r="Z556" i="3" s="1"/>
  <c r="X557" i="3"/>
  <c r="W557" i="3" s="1"/>
  <c r="Y557" i="3" s="1"/>
  <c r="Z557" i="3" s="1"/>
  <c r="X558" i="3"/>
  <c r="W558" i="3" s="1"/>
  <c r="Y558" i="3" s="1"/>
  <c r="Z558" i="3" s="1"/>
  <c r="X559" i="3"/>
  <c r="W559" i="3" s="1"/>
  <c r="Y559" i="3" s="1"/>
  <c r="Z559" i="3" s="1"/>
  <c r="X560" i="3"/>
  <c r="W560" i="3" s="1"/>
  <c r="Y560" i="3" s="1"/>
  <c r="Z560" i="3" s="1"/>
  <c r="X561" i="3"/>
  <c r="W561" i="3" s="1"/>
  <c r="Y561" i="3" s="1"/>
  <c r="Z561" i="3" s="1"/>
  <c r="AB561" i="3" s="1"/>
  <c r="X562" i="3"/>
  <c r="W562" i="3" s="1"/>
  <c r="Y562" i="3" s="1"/>
  <c r="Z562" i="3" s="1"/>
  <c r="X563" i="3"/>
  <c r="W563" i="3" s="1"/>
  <c r="Y563" i="3" s="1"/>
  <c r="Z563" i="3" s="1"/>
  <c r="X564" i="3"/>
  <c r="W564" i="3" s="1"/>
  <c r="Y564" i="3" s="1"/>
  <c r="Z564" i="3" s="1"/>
  <c r="X565" i="3"/>
  <c r="W565" i="3" s="1"/>
  <c r="Y565" i="3" s="1"/>
  <c r="Z565" i="3" s="1"/>
  <c r="AB565" i="3" s="1"/>
  <c r="W566" i="3"/>
  <c r="Y566" i="3" s="1"/>
  <c r="Z566" i="3" s="1"/>
  <c r="X566" i="3"/>
  <c r="X567" i="3"/>
  <c r="W567" i="3" s="1"/>
  <c r="Y567" i="3" s="1"/>
  <c r="Z567" i="3" s="1"/>
  <c r="X568" i="3"/>
  <c r="W568" i="3" s="1"/>
  <c r="Y568" i="3" s="1"/>
  <c r="Z568" i="3" s="1"/>
  <c r="X569" i="3"/>
  <c r="W569" i="3" s="1"/>
  <c r="Y569" i="3" s="1"/>
  <c r="Z569" i="3" s="1"/>
  <c r="X570" i="3"/>
  <c r="W570" i="3" s="1"/>
  <c r="Y570" i="3" s="1"/>
  <c r="Z570" i="3" s="1"/>
  <c r="X571" i="3"/>
  <c r="W571" i="3" s="1"/>
  <c r="Y571" i="3" s="1"/>
  <c r="Z571" i="3" s="1"/>
  <c r="AB571" i="3" s="1"/>
  <c r="W572" i="3"/>
  <c r="Y572" i="3" s="1"/>
  <c r="Z572" i="3" s="1"/>
  <c r="X572" i="3"/>
  <c r="X573" i="3"/>
  <c r="W573" i="3" s="1"/>
  <c r="Y573" i="3" s="1"/>
  <c r="Z573" i="3" s="1"/>
  <c r="X574" i="3"/>
  <c r="W574" i="3" s="1"/>
  <c r="Y574" i="3" s="1"/>
  <c r="Z574" i="3" s="1"/>
  <c r="W575" i="3"/>
  <c r="Y575" i="3" s="1"/>
  <c r="Z575" i="3" s="1"/>
  <c r="X575" i="3"/>
  <c r="X576" i="3"/>
  <c r="W576" i="3" s="1"/>
  <c r="Y576" i="3" s="1"/>
  <c r="Z576" i="3" s="1"/>
  <c r="X577" i="3"/>
  <c r="W577" i="3" s="1"/>
  <c r="Y577" i="3" s="1"/>
  <c r="Z577" i="3" s="1"/>
  <c r="X578" i="3"/>
  <c r="W578" i="3" s="1"/>
  <c r="Y578" i="3" s="1"/>
  <c r="Z578" i="3" s="1"/>
  <c r="AB578" i="3" s="1"/>
  <c r="X579" i="3"/>
  <c r="W579" i="3" s="1"/>
  <c r="Y579" i="3" s="1"/>
  <c r="Z579" i="3" s="1"/>
  <c r="AA579" i="3" s="1"/>
  <c r="X580" i="3"/>
  <c r="W580" i="3" s="1"/>
  <c r="Y580" i="3" s="1"/>
  <c r="Z580" i="3" s="1"/>
  <c r="X581" i="3"/>
  <c r="W581" i="3" s="1"/>
  <c r="Y581" i="3" s="1"/>
  <c r="Z581" i="3" s="1"/>
  <c r="AB581" i="3" s="1"/>
  <c r="X582" i="3"/>
  <c r="W582" i="3" s="1"/>
  <c r="Y582" i="3" s="1"/>
  <c r="Z582" i="3" s="1"/>
  <c r="W583" i="3"/>
  <c r="Y583" i="3" s="1"/>
  <c r="Z583" i="3" s="1"/>
  <c r="X583" i="3"/>
  <c r="X584" i="3"/>
  <c r="W584" i="3" s="1"/>
  <c r="Y584" i="3" s="1"/>
  <c r="Z584" i="3" s="1"/>
  <c r="X585" i="3"/>
  <c r="W585" i="3" s="1"/>
  <c r="Y585" i="3" s="1"/>
  <c r="Z585" i="3" s="1"/>
  <c r="X586" i="3"/>
  <c r="W586" i="3" s="1"/>
  <c r="Y586" i="3" s="1"/>
  <c r="Z586" i="3" s="1"/>
  <c r="X587" i="3"/>
  <c r="W587" i="3" s="1"/>
  <c r="Y587" i="3" s="1"/>
  <c r="Z587" i="3" s="1"/>
  <c r="AA587" i="3" s="1"/>
  <c r="X588" i="3"/>
  <c r="W588" i="3" s="1"/>
  <c r="Y588" i="3" s="1"/>
  <c r="Z588" i="3" s="1"/>
  <c r="X589" i="3"/>
  <c r="W589" i="3" s="1"/>
  <c r="Y589" i="3" s="1"/>
  <c r="Z589" i="3" s="1"/>
  <c r="X590" i="3"/>
  <c r="W590" i="3" s="1"/>
  <c r="Y590" i="3" s="1"/>
  <c r="Z590" i="3" s="1"/>
  <c r="X591" i="3"/>
  <c r="W591" i="3" s="1"/>
  <c r="Y591" i="3" s="1"/>
  <c r="Z591" i="3" s="1"/>
  <c r="X592" i="3"/>
  <c r="W592" i="3" s="1"/>
  <c r="Y592" i="3" s="1"/>
  <c r="Z592" i="3" s="1"/>
  <c r="W593" i="3"/>
  <c r="Y593" i="3" s="1"/>
  <c r="Z593" i="3" s="1"/>
  <c r="X593" i="3"/>
  <c r="W594" i="3"/>
  <c r="Y594" i="3" s="1"/>
  <c r="Z594" i="3" s="1"/>
  <c r="AB594" i="3" s="1"/>
  <c r="X594" i="3"/>
  <c r="W595" i="3"/>
  <c r="Y595" i="3" s="1"/>
  <c r="Z595" i="3" s="1"/>
  <c r="AA595" i="3" s="1"/>
  <c r="X595" i="3"/>
  <c r="X596" i="3"/>
  <c r="W596" i="3" s="1"/>
  <c r="Y596" i="3" s="1"/>
  <c r="Z596" i="3" s="1"/>
  <c r="X597" i="3"/>
  <c r="W597" i="3" s="1"/>
  <c r="Y597" i="3" s="1"/>
  <c r="Z597" i="3" s="1"/>
  <c r="AB597" i="3" s="1"/>
  <c r="X598" i="3"/>
  <c r="W598" i="3" s="1"/>
  <c r="Y598" i="3" s="1"/>
  <c r="Z598" i="3" s="1"/>
  <c r="X599" i="3"/>
  <c r="W599" i="3" s="1"/>
  <c r="Y599" i="3" s="1"/>
  <c r="Z599" i="3" s="1"/>
  <c r="X600" i="3"/>
  <c r="W600" i="3" s="1"/>
  <c r="Y600" i="3" s="1"/>
  <c r="Z600" i="3" s="1"/>
  <c r="W601" i="3"/>
  <c r="Y601" i="3" s="1"/>
  <c r="Z601" i="3" s="1"/>
  <c r="X601" i="3"/>
  <c r="W602" i="3"/>
  <c r="Y602" i="3" s="1"/>
  <c r="Z602" i="3" s="1"/>
  <c r="AB602" i="3" s="1"/>
  <c r="X602" i="3"/>
  <c r="W603" i="3"/>
  <c r="Y603" i="3" s="1"/>
  <c r="Z603" i="3" s="1"/>
  <c r="AB603" i="3" s="1"/>
  <c r="X603" i="3"/>
  <c r="X604" i="3"/>
  <c r="W604" i="3" s="1"/>
  <c r="Y604" i="3" s="1"/>
  <c r="Z604" i="3" s="1"/>
  <c r="X605" i="3"/>
  <c r="W605" i="3" s="1"/>
  <c r="Y605" i="3" s="1"/>
  <c r="Z605" i="3" s="1"/>
  <c r="X606" i="3"/>
  <c r="W606" i="3" s="1"/>
  <c r="Y606" i="3" s="1"/>
  <c r="Z606" i="3" s="1"/>
  <c r="X607" i="3"/>
  <c r="W607" i="3" s="1"/>
  <c r="Y607" i="3" s="1"/>
  <c r="Z607" i="3" s="1"/>
  <c r="W608" i="3"/>
  <c r="Y608" i="3" s="1"/>
  <c r="Z608" i="3" s="1"/>
  <c r="AB608" i="3" s="1"/>
  <c r="X608" i="3"/>
  <c r="X609" i="3"/>
  <c r="W609" i="3" s="1"/>
  <c r="Y609" i="3" s="1"/>
  <c r="Z609" i="3" s="1"/>
  <c r="X610" i="3"/>
  <c r="W610" i="3" s="1"/>
  <c r="Y610" i="3" s="1"/>
  <c r="Z610" i="3" s="1"/>
  <c r="AB610" i="3" s="1"/>
  <c r="X611" i="3"/>
  <c r="W611" i="3" s="1"/>
  <c r="Y611" i="3" s="1"/>
  <c r="Z611" i="3" s="1"/>
  <c r="X612" i="3"/>
  <c r="W612" i="3" s="1"/>
  <c r="Y612" i="3" s="1"/>
  <c r="Z612" i="3" s="1"/>
  <c r="X613" i="3"/>
  <c r="W613" i="3" s="1"/>
  <c r="Y613" i="3" s="1"/>
  <c r="Z613" i="3" s="1"/>
  <c r="X614" i="3"/>
  <c r="W614" i="3" s="1"/>
  <c r="Y614" i="3" s="1"/>
  <c r="Z614" i="3" s="1"/>
  <c r="X615" i="3"/>
  <c r="W615" i="3" s="1"/>
  <c r="Y615" i="3" s="1"/>
  <c r="Z615" i="3" s="1"/>
  <c r="X616" i="3"/>
  <c r="W616" i="3" s="1"/>
  <c r="Y616" i="3" s="1"/>
  <c r="Z616" i="3" s="1"/>
  <c r="AB616" i="3" s="1"/>
  <c r="X617" i="3"/>
  <c r="W617" i="3" s="1"/>
  <c r="Y617" i="3" s="1"/>
  <c r="Z617" i="3" s="1"/>
  <c r="AA617" i="3" s="1"/>
  <c r="X618" i="3"/>
  <c r="W618" i="3" s="1"/>
  <c r="Y618" i="3" s="1"/>
  <c r="Z618" i="3" s="1"/>
  <c r="X619" i="3"/>
  <c r="W619" i="3" s="1"/>
  <c r="Y619" i="3" s="1"/>
  <c r="Z619" i="3" s="1"/>
  <c r="X620" i="3"/>
  <c r="W620" i="3" s="1"/>
  <c r="Y620" i="3" s="1"/>
  <c r="Z620" i="3" s="1"/>
  <c r="AB620" i="3" s="1"/>
  <c r="X621" i="3"/>
  <c r="W621" i="3" s="1"/>
  <c r="Y621" i="3" s="1"/>
  <c r="Z621" i="3" s="1"/>
  <c r="AA621" i="3" s="1"/>
  <c r="X622" i="3"/>
  <c r="W622" i="3" s="1"/>
  <c r="Y622" i="3" s="1"/>
  <c r="Z622" i="3" s="1"/>
  <c r="X623" i="3"/>
  <c r="W623" i="3" s="1"/>
  <c r="Y623" i="3" s="1"/>
  <c r="Z623" i="3" s="1"/>
  <c r="W624" i="3"/>
  <c r="Y624" i="3" s="1"/>
  <c r="Z624" i="3" s="1"/>
  <c r="AB624" i="3" s="1"/>
  <c r="X624" i="3"/>
  <c r="X625" i="3"/>
  <c r="W625" i="3" s="1"/>
  <c r="Y625" i="3" s="1"/>
  <c r="Z625" i="3" s="1"/>
  <c r="X626" i="3"/>
  <c r="W626" i="3" s="1"/>
  <c r="Y626" i="3" s="1"/>
  <c r="Z626" i="3" s="1"/>
  <c r="AB626" i="3" s="1"/>
  <c r="X627" i="3"/>
  <c r="W627" i="3" s="1"/>
  <c r="Y627" i="3" s="1"/>
  <c r="Z627" i="3" s="1"/>
  <c r="X628" i="3"/>
  <c r="W628" i="3" s="1"/>
  <c r="Y628" i="3" s="1"/>
  <c r="Z628" i="3" s="1"/>
  <c r="AB628" i="3" s="1"/>
  <c r="W629" i="3"/>
  <c r="Y629" i="3" s="1"/>
  <c r="Z629" i="3" s="1"/>
  <c r="AB629" i="3" s="1"/>
  <c r="X629" i="3"/>
  <c r="W630" i="3"/>
  <c r="Y630" i="3" s="1"/>
  <c r="Z630" i="3" s="1"/>
  <c r="X630" i="3"/>
  <c r="X631" i="3"/>
  <c r="W631" i="3" s="1"/>
  <c r="Y631" i="3" s="1"/>
  <c r="Z631" i="3" s="1"/>
  <c r="AB631" i="3" s="1"/>
  <c r="X632" i="3"/>
  <c r="W632" i="3" s="1"/>
  <c r="Y632" i="3" s="1"/>
  <c r="Z632" i="3" s="1"/>
  <c r="AB632" i="3" s="1"/>
  <c r="X633" i="3"/>
  <c r="W633" i="3" s="1"/>
  <c r="Y633" i="3" s="1"/>
  <c r="Z633" i="3" s="1"/>
  <c r="AB633" i="3" s="1"/>
  <c r="X634" i="3"/>
  <c r="W634" i="3" s="1"/>
  <c r="Y634" i="3" s="1"/>
  <c r="Z634" i="3" s="1"/>
  <c r="X635" i="3"/>
  <c r="W635" i="3" s="1"/>
  <c r="Y635" i="3" s="1"/>
  <c r="Z635" i="3" s="1"/>
  <c r="W636" i="3"/>
  <c r="Y636" i="3" s="1"/>
  <c r="Z636" i="3" s="1"/>
  <c r="AB636" i="3" s="1"/>
  <c r="X636" i="3"/>
  <c r="X637" i="3"/>
  <c r="W637" i="3" s="1"/>
  <c r="Y637" i="3" s="1"/>
  <c r="Z637" i="3" s="1"/>
  <c r="AA637" i="3" s="1"/>
  <c r="X638" i="3"/>
  <c r="W638" i="3" s="1"/>
  <c r="Y638" i="3" s="1"/>
  <c r="Z638" i="3" s="1"/>
  <c r="X639" i="3"/>
  <c r="W639" i="3" s="1"/>
  <c r="Y639" i="3" s="1"/>
  <c r="Z639" i="3" s="1"/>
  <c r="X640" i="3"/>
  <c r="W640" i="3" s="1"/>
  <c r="Y640" i="3" s="1"/>
  <c r="Z640" i="3" s="1"/>
  <c r="X641" i="3"/>
  <c r="W641" i="3" s="1"/>
  <c r="Y641" i="3" s="1"/>
  <c r="Z641" i="3" s="1"/>
  <c r="AA641" i="3" s="1"/>
  <c r="X642" i="3"/>
  <c r="W642" i="3" s="1"/>
  <c r="Y642" i="3" s="1"/>
  <c r="Z642" i="3" s="1"/>
  <c r="X643" i="3"/>
  <c r="W643" i="3" s="1"/>
  <c r="Y643" i="3" s="1"/>
  <c r="Z643" i="3" s="1"/>
  <c r="X644" i="3"/>
  <c r="W644" i="3" s="1"/>
  <c r="Y644" i="3" s="1"/>
  <c r="Z644" i="3" s="1"/>
  <c r="X645" i="3"/>
  <c r="W645" i="3" s="1"/>
  <c r="Y645" i="3" s="1"/>
  <c r="Z645" i="3" s="1"/>
  <c r="X646" i="3"/>
  <c r="W646" i="3" s="1"/>
  <c r="Y646" i="3" s="1"/>
  <c r="Z646" i="3" s="1"/>
  <c r="X647" i="3"/>
  <c r="W647" i="3" s="1"/>
  <c r="Y647" i="3" s="1"/>
  <c r="Z647" i="3" s="1"/>
  <c r="X648" i="3"/>
  <c r="W648" i="3" s="1"/>
  <c r="Y648" i="3" s="1"/>
  <c r="Z648" i="3" s="1"/>
  <c r="AB648" i="3" s="1"/>
  <c r="X649" i="3"/>
  <c r="W649" i="3" s="1"/>
  <c r="Y649" i="3" s="1"/>
  <c r="Z649" i="3" s="1"/>
  <c r="AB649" i="3" s="1"/>
  <c r="X650" i="3"/>
  <c r="W650" i="3" s="1"/>
  <c r="Y650" i="3" s="1"/>
  <c r="Z650" i="3" s="1"/>
  <c r="X651" i="3"/>
  <c r="W651" i="3" s="1"/>
  <c r="Y651" i="3" s="1"/>
  <c r="Z651" i="3" s="1"/>
  <c r="W652" i="3"/>
  <c r="Y652" i="3" s="1"/>
  <c r="Z652" i="3" s="1"/>
  <c r="X652" i="3"/>
  <c r="W653" i="3"/>
  <c r="Y653" i="3" s="1"/>
  <c r="Z653" i="3" s="1"/>
  <c r="AA653" i="3" s="1"/>
  <c r="X653" i="3"/>
  <c r="W654" i="3"/>
  <c r="Y654" i="3" s="1"/>
  <c r="Z654" i="3" s="1"/>
  <c r="X654" i="3"/>
  <c r="X655" i="3"/>
  <c r="W655" i="3" s="1"/>
  <c r="Y655" i="3" s="1"/>
  <c r="Z655" i="3" s="1"/>
  <c r="X656" i="3"/>
  <c r="W656" i="3" s="1"/>
  <c r="Y656" i="3" s="1"/>
  <c r="Z656" i="3" s="1"/>
  <c r="X657" i="3"/>
  <c r="W657" i="3" s="1"/>
  <c r="Y657" i="3" s="1"/>
  <c r="Z657" i="3" s="1"/>
  <c r="AA657" i="3" s="1"/>
  <c r="X658" i="3"/>
  <c r="W658" i="3" s="1"/>
  <c r="Y658" i="3" s="1"/>
  <c r="Z658" i="3" s="1"/>
  <c r="X659" i="3"/>
  <c r="W659" i="3" s="1"/>
  <c r="Y659" i="3" s="1"/>
  <c r="Z659" i="3" s="1"/>
  <c r="W660" i="3"/>
  <c r="Y660" i="3" s="1"/>
  <c r="Z660" i="3" s="1"/>
  <c r="X660" i="3"/>
  <c r="X661" i="3"/>
  <c r="W661" i="3" s="1"/>
  <c r="Y661" i="3" s="1"/>
  <c r="Z661" i="3" s="1"/>
  <c r="AA661" i="3" s="1"/>
  <c r="X662" i="3"/>
  <c r="W662" i="3" s="1"/>
  <c r="Y662" i="3" s="1"/>
  <c r="Z662" i="3" s="1"/>
  <c r="X663" i="3"/>
  <c r="W663" i="3" s="1"/>
  <c r="Y663" i="3" s="1"/>
  <c r="Z663" i="3" s="1"/>
  <c r="AB663" i="3" s="1"/>
  <c r="X664" i="3"/>
  <c r="W664" i="3" s="1"/>
  <c r="Y664" i="3" s="1"/>
  <c r="Z664" i="3" s="1"/>
  <c r="AB664" i="3" s="1"/>
  <c r="X665" i="3"/>
  <c r="W665" i="3" s="1"/>
  <c r="Y665" i="3" s="1"/>
  <c r="Z665" i="3" s="1"/>
  <c r="W666" i="3"/>
  <c r="Y666" i="3" s="1"/>
  <c r="Z666" i="3" s="1"/>
  <c r="AB666" i="3" s="1"/>
  <c r="X666" i="3"/>
  <c r="X667" i="3"/>
  <c r="W667" i="3" s="1"/>
  <c r="Y667" i="3" s="1"/>
  <c r="Z667" i="3" s="1"/>
  <c r="X668" i="3"/>
  <c r="W668" i="3" s="1"/>
  <c r="Y668" i="3" s="1"/>
  <c r="Z668" i="3" s="1"/>
  <c r="AB668" i="3" s="1"/>
  <c r="W669" i="3"/>
  <c r="Y669" i="3" s="1"/>
  <c r="Z669" i="3" s="1"/>
  <c r="AB669" i="3" s="1"/>
  <c r="X669" i="3"/>
  <c r="X670" i="3"/>
  <c r="W670" i="3" s="1"/>
  <c r="Y670" i="3" s="1"/>
  <c r="Z670" i="3" s="1"/>
  <c r="X671" i="3"/>
  <c r="W671" i="3" s="1"/>
  <c r="Y671" i="3" s="1"/>
  <c r="Z671" i="3" s="1"/>
  <c r="W672" i="3"/>
  <c r="Y672" i="3" s="1"/>
  <c r="Z672" i="3" s="1"/>
  <c r="X672" i="3"/>
  <c r="W673" i="3"/>
  <c r="Y673" i="3" s="1"/>
  <c r="Z673" i="3" s="1"/>
  <c r="X673" i="3"/>
  <c r="X674" i="3"/>
  <c r="W674" i="3" s="1"/>
  <c r="Y674" i="3" s="1"/>
  <c r="Z674" i="3" s="1"/>
  <c r="X675" i="3"/>
  <c r="W675" i="3" s="1"/>
  <c r="Y675" i="3" s="1"/>
  <c r="Z675" i="3" s="1"/>
  <c r="W676" i="3"/>
  <c r="Y676" i="3" s="1"/>
  <c r="Z676" i="3" s="1"/>
  <c r="X676" i="3"/>
  <c r="X677" i="3"/>
  <c r="W677" i="3" s="1"/>
  <c r="Y677" i="3" s="1"/>
  <c r="Z677" i="3" s="1"/>
  <c r="AA677" i="3" s="1"/>
  <c r="X678" i="3"/>
  <c r="W678" i="3" s="1"/>
  <c r="Y678" i="3" s="1"/>
  <c r="Z678" i="3" s="1"/>
  <c r="AB678" i="3" s="1"/>
  <c r="W679" i="3"/>
  <c r="Y679" i="3" s="1"/>
  <c r="Z679" i="3" s="1"/>
  <c r="X679" i="3"/>
  <c r="X680" i="3"/>
  <c r="W680" i="3" s="1"/>
  <c r="Y680" i="3" s="1"/>
  <c r="Z680" i="3" s="1"/>
  <c r="AB680" i="3" s="1"/>
  <c r="X681" i="3"/>
  <c r="W681" i="3" s="1"/>
  <c r="Y681" i="3" s="1"/>
  <c r="Z681" i="3" s="1"/>
  <c r="AB681" i="3" s="1"/>
  <c r="X682" i="3"/>
  <c r="W682" i="3" s="1"/>
  <c r="Y682" i="3" s="1"/>
  <c r="Z682" i="3" s="1"/>
  <c r="X683" i="3"/>
  <c r="W683" i="3" s="1"/>
  <c r="Y683" i="3" s="1"/>
  <c r="Z683" i="3" s="1"/>
  <c r="AA683" i="3" s="1"/>
  <c r="W684" i="3"/>
  <c r="Y684" i="3" s="1"/>
  <c r="Z684" i="3" s="1"/>
  <c r="AB684" i="3" s="1"/>
  <c r="X684" i="3"/>
  <c r="X685" i="3"/>
  <c r="W685" i="3" s="1"/>
  <c r="Y685" i="3" s="1"/>
  <c r="Z685" i="3" s="1"/>
  <c r="AA685" i="3" s="1"/>
  <c r="X686" i="3"/>
  <c r="W686" i="3" s="1"/>
  <c r="Y686" i="3" s="1"/>
  <c r="Z686" i="3" s="1"/>
  <c r="X687" i="3"/>
  <c r="W687" i="3" s="1"/>
  <c r="Y687" i="3" s="1"/>
  <c r="Z687" i="3" s="1"/>
  <c r="X688" i="3"/>
  <c r="W688" i="3" s="1"/>
  <c r="Y688" i="3" s="1"/>
  <c r="Z688" i="3" s="1"/>
  <c r="AA688" i="3" s="1"/>
  <c r="X689" i="3"/>
  <c r="W689" i="3" s="1"/>
  <c r="Y689" i="3" s="1"/>
  <c r="Z689" i="3" s="1"/>
  <c r="X690" i="3"/>
  <c r="W690" i="3" s="1"/>
  <c r="Y690" i="3" s="1"/>
  <c r="Z690" i="3" s="1"/>
  <c r="X691" i="3"/>
  <c r="W691" i="3" s="1"/>
  <c r="Y691" i="3" s="1"/>
  <c r="Z691" i="3" s="1"/>
  <c r="AA691" i="3" s="1"/>
  <c r="X692" i="3"/>
  <c r="W692" i="3" s="1"/>
  <c r="Y692" i="3" s="1"/>
  <c r="Z692" i="3" s="1"/>
  <c r="X693" i="3"/>
  <c r="W693" i="3" s="1"/>
  <c r="Y693" i="3" s="1"/>
  <c r="Z693" i="3" s="1"/>
  <c r="AA693" i="3" s="1"/>
  <c r="X694" i="3"/>
  <c r="W694" i="3" s="1"/>
  <c r="Y694" i="3" s="1"/>
  <c r="Z694" i="3" s="1"/>
  <c r="X695" i="3"/>
  <c r="W695" i="3" s="1"/>
  <c r="Y695" i="3" s="1"/>
  <c r="Z695" i="3" s="1"/>
  <c r="X696" i="3"/>
  <c r="W696" i="3" s="1"/>
  <c r="Y696" i="3" s="1"/>
  <c r="Z696" i="3" s="1"/>
  <c r="W697" i="3"/>
  <c r="Y697" i="3" s="1"/>
  <c r="Z697" i="3" s="1"/>
  <c r="X697" i="3"/>
  <c r="X698" i="3"/>
  <c r="W698" i="3" s="1"/>
  <c r="Y698" i="3" s="1"/>
  <c r="Z698" i="3" s="1"/>
  <c r="X699" i="3"/>
  <c r="W699" i="3" s="1"/>
  <c r="Y699" i="3" s="1"/>
  <c r="Z699" i="3" s="1"/>
  <c r="AB699" i="3" s="1"/>
  <c r="X700" i="3"/>
  <c r="W700" i="3" s="1"/>
  <c r="Y700" i="3" s="1"/>
  <c r="Z700" i="3" s="1"/>
  <c r="X701" i="3"/>
  <c r="W701" i="3" s="1"/>
  <c r="Y701" i="3" s="1"/>
  <c r="Z701" i="3" s="1"/>
  <c r="X702" i="3"/>
  <c r="W702" i="3" s="1"/>
  <c r="Y702" i="3" s="1"/>
  <c r="Z702" i="3" s="1"/>
  <c r="X703" i="3"/>
  <c r="W703" i="3" s="1"/>
  <c r="Y703" i="3" s="1"/>
  <c r="Z703" i="3" s="1"/>
  <c r="AA703" i="3" s="1"/>
  <c r="X704" i="3"/>
  <c r="W704" i="3" s="1"/>
  <c r="Y704" i="3" s="1"/>
  <c r="Z704" i="3" s="1"/>
  <c r="AA704" i="3" s="1"/>
  <c r="X705" i="3"/>
  <c r="W705" i="3" s="1"/>
  <c r="Y705" i="3" s="1"/>
  <c r="Z705" i="3" s="1"/>
  <c r="AB705" i="3" s="1"/>
  <c r="X706" i="3"/>
  <c r="W706" i="3" s="1"/>
  <c r="Y706" i="3" s="1"/>
  <c r="Z706" i="3" s="1"/>
  <c r="X707" i="3"/>
  <c r="W707" i="3" s="1"/>
  <c r="Y707" i="3" s="1"/>
  <c r="Z707" i="3" s="1"/>
  <c r="X708" i="3"/>
  <c r="W708" i="3" s="1"/>
  <c r="Y708" i="3" s="1"/>
  <c r="Z708" i="3" s="1"/>
  <c r="X709" i="3"/>
  <c r="W709" i="3" s="1"/>
  <c r="Y709" i="3" s="1"/>
  <c r="Z709" i="3" s="1"/>
  <c r="AA709" i="3" s="1"/>
  <c r="X710" i="3"/>
  <c r="W710" i="3" s="1"/>
  <c r="Y710" i="3" s="1"/>
  <c r="Z710" i="3" s="1"/>
  <c r="W711" i="3"/>
  <c r="Y711" i="3" s="1"/>
  <c r="Z711" i="3" s="1"/>
  <c r="X711" i="3"/>
  <c r="X712" i="3"/>
  <c r="W712" i="3" s="1"/>
  <c r="Y712" i="3" s="1"/>
  <c r="Z712" i="3" s="1"/>
  <c r="AA712" i="3" s="1"/>
  <c r="X713" i="3"/>
  <c r="W713" i="3" s="1"/>
  <c r="Y713" i="3" s="1"/>
  <c r="Z713" i="3" s="1"/>
  <c r="AA713" i="3" s="1"/>
  <c r="X714" i="3"/>
  <c r="W714" i="3" s="1"/>
  <c r="Y714" i="3" s="1"/>
  <c r="Z714" i="3" s="1"/>
  <c r="X715" i="3"/>
  <c r="W715" i="3" s="1"/>
  <c r="Y715" i="3" s="1"/>
  <c r="Z715" i="3" s="1"/>
  <c r="X716" i="3"/>
  <c r="W716" i="3" s="1"/>
  <c r="Y716" i="3" s="1"/>
  <c r="Z716" i="3" s="1"/>
  <c r="X717" i="3"/>
  <c r="W717" i="3" s="1"/>
  <c r="Y717" i="3" s="1"/>
  <c r="Z717" i="3" s="1"/>
  <c r="AB717" i="3" s="1"/>
  <c r="X718" i="3"/>
  <c r="W718" i="3" s="1"/>
  <c r="Y718" i="3" s="1"/>
  <c r="Z718" i="3" s="1"/>
  <c r="X719" i="3"/>
  <c r="W719" i="3" s="1"/>
  <c r="Y719" i="3" s="1"/>
  <c r="Z719" i="3" s="1"/>
  <c r="X720" i="3"/>
  <c r="W720" i="3" s="1"/>
  <c r="Y720" i="3" s="1"/>
  <c r="Z720" i="3" s="1"/>
  <c r="X721" i="3"/>
  <c r="W721" i="3" s="1"/>
  <c r="Y721" i="3" s="1"/>
  <c r="Z721" i="3" s="1"/>
  <c r="AB721" i="3" s="1"/>
  <c r="X722" i="3"/>
  <c r="W722" i="3" s="1"/>
  <c r="Y722" i="3" s="1"/>
  <c r="Z722" i="3" s="1"/>
  <c r="X723" i="3"/>
  <c r="W723" i="3" s="1"/>
  <c r="Y723" i="3" s="1"/>
  <c r="Z723" i="3" s="1"/>
  <c r="X724" i="3"/>
  <c r="W724" i="3" s="1"/>
  <c r="Y724" i="3" s="1"/>
  <c r="Z724" i="3" s="1"/>
  <c r="X725" i="3"/>
  <c r="W725" i="3" s="1"/>
  <c r="Y725" i="3" s="1"/>
  <c r="Z725" i="3" s="1"/>
  <c r="X726" i="3"/>
  <c r="W726" i="3" s="1"/>
  <c r="Y726" i="3" s="1"/>
  <c r="Z726" i="3" s="1"/>
  <c r="X727" i="3"/>
  <c r="W727" i="3" s="1"/>
  <c r="Y727" i="3" s="1"/>
  <c r="Z727" i="3" s="1"/>
  <c r="X728" i="3"/>
  <c r="W728" i="3" s="1"/>
  <c r="Y728" i="3" s="1"/>
  <c r="Z728" i="3" s="1"/>
  <c r="W729" i="3"/>
  <c r="Y729" i="3" s="1"/>
  <c r="Z729" i="3" s="1"/>
  <c r="X729" i="3"/>
  <c r="X730" i="3"/>
  <c r="W730" i="3" s="1"/>
  <c r="Y730" i="3" s="1"/>
  <c r="Z730" i="3" s="1"/>
  <c r="X731" i="3"/>
  <c r="W731" i="3" s="1"/>
  <c r="Y731" i="3" s="1"/>
  <c r="Z731" i="3" s="1"/>
  <c r="X732" i="3"/>
  <c r="W732" i="3" s="1"/>
  <c r="Y732" i="3" s="1"/>
  <c r="Z732" i="3" s="1"/>
  <c r="X733" i="3"/>
  <c r="W733" i="3" s="1"/>
  <c r="Y733" i="3" s="1"/>
  <c r="Z733" i="3" s="1"/>
  <c r="AB733" i="3" s="1"/>
  <c r="X734" i="3"/>
  <c r="W734" i="3" s="1"/>
  <c r="Y734" i="3" s="1"/>
  <c r="Z734" i="3" s="1"/>
  <c r="X735" i="3"/>
  <c r="W735" i="3" s="1"/>
  <c r="Y735" i="3" s="1"/>
  <c r="Z735" i="3" s="1"/>
  <c r="X736" i="3"/>
  <c r="W736" i="3" s="1"/>
  <c r="Y736" i="3" s="1"/>
  <c r="Z736" i="3" s="1"/>
  <c r="W737" i="3"/>
  <c r="Y737" i="3" s="1"/>
  <c r="Z737" i="3" s="1"/>
  <c r="X737" i="3"/>
  <c r="X738" i="3"/>
  <c r="W738" i="3" s="1"/>
  <c r="Y738" i="3" s="1"/>
  <c r="Z738" i="3" s="1"/>
  <c r="X739" i="3"/>
  <c r="W739" i="3" s="1"/>
  <c r="Y739" i="3" s="1"/>
  <c r="Z739" i="3" s="1"/>
  <c r="AB739" i="3" s="1"/>
  <c r="X740" i="3"/>
  <c r="W740" i="3" s="1"/>
  <c r="Y740" i="3" s="1"/>
  <c r="Z740" i="3" s="1"/>
  <c r="X741" i="3"/>
  <c r="W741" i="3" s="1"/>
  <c r="Y741" i="3" s="1"/>
  <c r="Z741" i="3" s="1"/>
  <c r="X742" i="3"/>
  <c r="W742" i="3" s="1"/>
  <c r="Y742" i="3" s="1"/>
  <c r="Z742" i="3" s="1"/>
  <c r="X743" i="3"/>
  <c r="W743" i="3" s="1"/>
  <c r="Y743" i="3" s="1"/>
  <c r="Z743" i="3" s="1"/>
  <c r="X744" i="3"/>
  <c r="W744" i="3" s="1"/>
  <c r="Y744" i="3" s="1"/>
  <c r="Z744" i="3" s="1"/>
  <c r="X745" i="3"/>
  <c r="W745" i="3" s="1"/>
  <c r="Y745" i="3" s="1"/>
  <c r="Z745" i="3" s="1"/>
  <c r="AB745" i="3" s="1"/>
  <c r="X746" i="3"/>
  <c r="W746" i="3" s="1"/>
  <c r="Y746" i="3" s="1"/>
  <c r="Z746" i="3" s="1"/>
  <c r="X747" i="3"/>
  <c r="W747" i="3" s="1"/>
  <c r="Y747" i="3" s="1"/>
  <c r="Z747" i="3" s="1"/>
  <c r="X748" i="3"/>
  <c r="W748" i="3" s="1"/>
  <c r="Y748" i="3" s="1"/>
  <c r="Z748" i="3" s="1"/>
  <c r="X749" i="3"/>
  <c r="W749" i="3" s="1"/>
  <c r="Y749" i="3" s="1"/>
  <c r="Z749" i="3" s="1"/>
  <c r="X750" i="3"/>
  <c r="W750" i="3" s="1"/>
  <c r="Y750" i="3" s="1"/>
  <c r="Z750" i="3" s="1"/>
  <c r="X751" i="3"/>
  <c r="W751" i="3" s="1"/>
  <c r="Y751" i="3" s="1"/>
  <c r="Z751" i="3" s="1"/>
  <c r="X752" i="3"/>
  <c r="W752" i="3" s="1"/>
  <c r="Y752" i="3" s="1"/>
  <c r="Z752" i="3" s="1"/>
  <c r="X753" i="3"/>
  <c r="W753" i="3" s="1"/>
  <c r="Y753" i="3" s="1"/>
  <c r="Z753" i="3" s="1"/>
  <c r="X754" i="3"/>
  <c r="W754" i="3" s="1"/>
  <c r="Y754" i="3" s="1"/>
  <c r="Z754" i="3" s="1"/>
  <c r="X755" i="3"/>
  <c r="W755" i="3" s="1"/>
  <c r="Y755" i="3" s="1"/>
  <c r="Z755" i="3" s="1"/>
  <c r="AB755" i="3" s="1"/>
  <c r="X756" i="3"/>
  <c r="W756" i="3" s="1"/>
  <c r="Y756" i="3" s="1"/>
  <c r="Z756" i="3" s="1"/>
  <c r="X757" i="3"/>
  <c r="W757" i="3" s="1"/>
  <c r="Y757" i="3" s="1"/>
  <c r="Z757" i="3" s="1"/>
  <c r="X758" i="3"/>
  <c r="W758" i="3" s="1"/>
  <c r="Y758" i="3" s="1"/>
  <c r="Z758" i="3" s="1"/>
  <c r="AA758" i="3" s="1"/>
  <c r="X759" i="3"/>
  <c r="W759" i="3" s="1"/>
  <c r="Y759" i="3" s="1"/>
  <c r="Z759" i="3" s="1"/>
  <c r="X760" i="3"/>
  <c r="W760" i="3" s="1"/>
  <c r="Y760" i="3" s="1"/>
  <c r="Z760" i="3" s="1"/>
  <c r="W761" i="3"/>
  <c r="Y761" i="3" s="1"/>
  <c r="Z761" i="3" s="1"/>
  <c r="X761" i="3"/>
  <c r="X762" i="3"/>
  <c r="W762" i="3" s="1"/>
  <c r="Y762" i="3" s="1"/>
  <c r="Z762" i="3" s="1"/>
  <c r="AA762" i="3" s="1"/>
  <c r="X763" i="3"/>
  <c r="W763" i="3" s="1"/>
  <c r="Y763" i="3" s="1"/>
  <c r="Z763" i="3" s="1"/>
  <c r="AA763" i="3" s="1"/>
  <c r="X764" i="3"/>
  <c r="W764" i="3" s="1"/>
  <c r="Y764" i="3" s="1"/>
  <c r="Z764" i="3" s="1"/>
  <c r="X765" i="3"/>
  <c r="W765" i="3" s="1"/>
  <c r="Y765" i="3" s="1"/>
  <c r="Z765" i="3" s="1"/>
  <c r="X766" i="3"/>
  <c r="W766" i="3" s="1"/>
  <c r="Y766" i="3" s="1"/>
  <c r="Z766" i="3" s="1"/>
  <c r="X767" i="3"/>
  <c r="W767" i="3" s="1"/>
  <c r="Y767" i="3" s="1"/>
  <c r="Z767" i="3" s="1"/>
  <c r="AB767" i="3" s="1"/>
  <c r="X768" i="3"/>
  <c r="W768" i="3" s="1"/>
  <c r="Y768" i="3" s="1"/>
  <c r="Z768" i="3" s="1"/>
  <c r="X769" i="3"/>
  <c r="W769" i="3" s="1"/>
  <c r="Y769" i="3" s="1"/>
  <c r="Z769" i="3" s="1"/>
  <c r="X770" i="3"/>
  <c r="W770" i="3" s="1"/>
  <c r="Y770" i="3" s="1"/>
  <c r="Z770" i="3" s="1"/>
  <c r="X771" i="3"/>
  <c r="W771" i="3" s="1"/>
  <c r="Y771" i="3" s="1"/>
  <c r="Z771" i="3" s="1"/>
  <c r="AB771" i="3" s="1"/>
  <c r="X772" i="3"/>
  <c r="W772" i="3" s="1"/>
  <c r="Y772" i="3" s="1"/>
  <c r="Z772" i="3" s="1"/>
  <c r="AA772" i="3" s="1"/>
  <c r="X773" i="3"/>
  <c r="W773" i="3" s="1"/>
  <c r="Y773" i="3" s="1"/>
  <c r="Z773" i="3" s="1"/>
  <c r="X774" i="3"/>
  <c r="W774" i="3" s="1"/>
  <c r="Y774" i="3" s="1"/>
  <c r="Z774" i="3" s="1"/>
  <c r="AA774" i="3" s="1"/>
  <c r="X775" i="3"/>
  <c r="W775" i="3" s="1"/>
  <c r="Y775" i="3" s="1"/>
  <c r="Z775" i="3" s="1"/>
  <c r="X776" i="3"/>
  <c r="W776" i="3" s="1"/>
  <c r="Y776" i="3" s="1"/>
  <c r="Z776" i="3" s="1"/>
  <c r="X777" i="3"/>
  <c r="W777" i="3" s="1"/>
  <c r="Y777" i="3" s="1"/>
  <c r="Z777" i="3" s="1"/>
  <c r="X778" i="3"/>
  <c r="W778" i="3" s="1"/>
  <c r="Y778" i="3" s="1"/>
  <c r="Z778" i="3" s="1"/>
  <c r="X779" i="3"/>
  <c r="W779" i="3" s="1"/>
  <c r="Y779" i="3" s="1"/>
  <c r="Z779" i="3" s="1"/>
  <c r="X780" i="3"/>
  <c r="W780" i="3" s="1"/>
  <c r="Y780" i="3" s="1"/>
  <c r="Z780" i="3" s="1"/>
  <c r="W781" i="3"/>
  <c r="Y781" i="3" s="1"/>
  <c r="Z781" i="3" s="1"/>
  <c r="AA781" i="3" s="1"/>
  <c r="X781" i="3"/>
  <c r="X782" i="3"/>
  <c r="W782" i="3" s="1"/>
  <c r="Y782" i="3" s="1"/>
  <c r="Z782" i="3" s="1"/>
  <c r="X783" i="3"/>
  <c r="W783" i="3" s="1"/>
  <c r="Y783" i="3" s="1"/>
  <c r="Z783" i="3" s="1"/>
  <c r="AB783" i="3" s="1"/>
  <c r="X784" i="3"/>
  <c r="W784" i="3" s="1"/>
  <c r="Y784" i="3" s="1"/>
  <c r="Z784" i="3" s="1"/>
  <c r="X785" i="3"/>
  <c r="W785" i="3" s="1"/>
  <c r="Y785" i="3" s="1"/>
  <c r="Z785" i="3" s="1"/>
  <c r="AA785" i="3" s="1"/>
  <c r="X786" i="3"/>
  <c r="W786" i="3" s="1"/>
  <c r="Y786" i="3" s="1"/>
  <c r="Z786" i="3" s="1"/>
  <c r="X787" i="3"/>
  <c r="W787" i="3" s="1"/>
  <c r="Y787" i="3" s="1"/>
  <c r="Z787" i="3" s="1"/>
  <c r="AB787" i="3" s="1"/>
  <c r="X788" i="3"/>
  <c r="W788" i="3" s="1"/>
  <c r="Y788" i="3" s="1"/>
  <c r="Z788" i="3" s="1"/>
  <c r="AA788" i="3" s="1"/>
  <c r="X789" i="3"/>
  <c r="W789" i="3" s="1"/>
  <c r="Y789" i="3" s="1"/>
  <c r="Z789" i="3" s="1"/>
  <c r="AA789" i="3" s="1"/>
  <c r="X790" i="3"/>
  <c r="W790" i="3" s="1"/>
  <c r="Y790" i="3" s="1"/>
  <c r="Z790" i="3" s="1"/>
  <c r="X791" i="3"/>
  <c r="W791" i="3" s="1"/>
  <c r="Y791" i="3" s="1"/>
  <c r="Z791" i="3" s="1"/>
  <c r="AB791" i="3" s="1"/>
  <c r="X792" i="3"/>
  <c r="W792" i="3" s="1"/>
  <c r="Y792" i="3" s="1"/>
  <c r="Z792" i="3" s="1"/>
  <c r="X793" i="3"/>
  <c r="W793" i="3" s="1"/>
  <c r="Y793" i="3" s="1"/>
  <c r="Z793" i="3" s="1"/>
  <c r="X794" i="3"/>
  <c r="W794" i="3" s="1"/>
  <c r="Y794" i="3" s="1"/>
  <c r="Z794" i="3" s="1"/>
  <c r="X795" i="3"/>
  <c r="W795" i="3" s="1"/>
  <c r="Y795" i="3" s="1"/>
  <c r="Z795" i="3" s="1"/>
  <c r="AB795" i="3" s="1"/>
  <c r="X796" i="3"/>
  <c r="W796" i="3" s="1"/>
  <c r="Y796" i="3" s="1"/>
  <c r="Z796" i="3" s="1"/>
  <c r="X797" i="3"/>
  <c r="W797" i="3" s="1"/>
  <c r="Y797" i="3" s="1"/>
  <c r="Z797" i="3" s="1"/>
  <c r="AA797" i="3" s="1"/>
  <c r="X798" i="3"/>
  <c r="W798" i="3" s="1"/>
  <c r="Y798" i="3" s="1"/>
  <c r="Z798" i="3" s="1"/>
  <c r="X799" i="3"/>
  <c r="W799" i="3" s="1"/>
  <c r="Y799" i="3" s="1"/>
  <c r="Z799" i="3" s="1"/>
  <c r="X800" i="3"/>
  <c r="W800" i="3" s="1"/>
  <c r="Y800" i="3" s="1"/>
  <c r="Z800" i="3" s="1"/>
  <c r="X801" i="3"/>
  <c r="W801" i="3" s="1"/>
  <c r="Y801" i="3" s="1"/>
  <c r="Z801" i="3" s="1"/>
  <c r="AA801" i="3" s="1"/>
  <c r="X802" i="3"/>
  <c r="W802" i="3" s="1"/>
  <c r="Y802" i="3" s="1"/>
  <c r="Z802" i="3" s="1"/>
  <c r="AA802" i="3" s="1"/>
  <c r="X803" i="3"/>
  <c r="W803" i="3" s="1"/>
  <c r="Y803" i="3" s="1"/>
  <c r="Z803" i="3" s="1"/>
  <c r="AB803" i="3" s="1"/>
  <c r="X804" i="3"/>
  <c r="W804" i="3" s="1"/>
  <c r="Y804" i="3" s="1"/>
  <c r="Z804" i="3" s="1"/>
  <c r="X805" i="3"/>
  <c r="W805" i="3" s="1"/>
  <c r="Y805" i="3" s="1"/>
  <c r="Z805" i="3" s="1"/>
  <c r="X806" i="3"/>
  <c r="W806" i="3" s="1"/>
  <c r="Y806" i="3" s="1"/>
  <c r="Z806" i="3" s="1"/>
  <c r="AA806" i="3" s="1"/>
  <c r="X807" i="3"/>
  <c r="W807" i="3" s="1"/>
  <c r="Y807" i="3" s="1"/>
  <c r="Z807" i="3" s="1"/>
  <c r="AB807" i="3" s="1"/>
  <c r="X808" i="3"/>
  <c r="W808" i="3" s="1"/>
  <c r="Y808" i="3" s="1"/>
  <c r="Z808" i="3" s="1"/>
  <c r="X809" i="3"/>
  <c r="W809" i="3" s="1"/>
  <c r="Y809" i="3" s="1"/>
  <c r="Z809" i="3" s="1"/>
  <c r="AA809" i="3" s="1"/>
  <c r="X810" i="3"/>
  <c r="W810" i="3" s="1"/>
  <c r="Y810" i="3" s="1"/>
  <c r="Z810" i="3" s="1"/>
  <c r="X811" i="3"/>
  <c r="W811" i="3" s="1"/>
  <c r="Y811" i="3" s="1"/>
  <c r="Z811" i="3" s="1"/>
  <c r="AA811" i="3" s="1"/>
  <c r="X812" i="3"/>
  <c r="W812" i="3" s="1"/>
  <c r="Y812" i="3" s="1"/>
  <c r="Z812" i="3" s="1"/>
  <c r="W813" i="3"/>
  <c r="Y813" i="3" s="1"/>
  <c r="Z813" i="3" s="1"/>
  <c r="AB813" i="3" s="1"/>
  <c r="X813" i="3"/>
  <c r="X814" i="3"/>
  <c r="W814" i="3" s="1"/>
  <c r="Y814" i="3" s="1"/>
  <c r="Z814" i="3" s="1"/>
  <c r="X815" i="3"/>
  <c r="W815" i="3" s="1"/>
  <c r="Y815" i="3" s="1"/>
  <c r="Z815" i="3" s="1"/>
  <c r="X816" i="3"/>
  <c r="W816" i="3" s="1"/>
  <c r="Y816" i="3" s="1"/>
  <c r="Z816" i="3" s="1"/>
  <c r="X817" i="3"/>
  <c r="W817" i="3" s="1"/>
  <c r="Y817" i="3" s="1"/>
  <c r="Z817" i="3" s="1"/>
  <c r="X818" i="3"/>
  <c r="W818" i="3" s="1"/>
  <c r="Y818" i="3" s="1"/>
  <c r="Z818" i="3" s="1"/>
  <c r="X819" i="3"/>
  <c r="W819" i="3" s="1"/>
  <c r="Y819" i="3" s="1"/>
  <c r="Z819" i="3" s="1"/>
  <c r="AB819" i="3" s="1"/>
  <c r="X820" i="3"/>
  <c r="W820" i="3" s="1"/>
  <c r="Y820" i="3" s="1"/>
  <c r="Z820" i="3" s="1"/>
  <c r="X821" i="3"/>
  <c r="W821" i="3" s="1"/>
  <c r="Y821" i="3" s="1"/>
  <c r="Z821" i="3" s="1"/>
  <c r="W822" i="3"/>
  <c r="Y822" i="3" s="1"/>
  <c r="Z822" i="3" s="1"/>
  <c r="X822" i="3"/>
  <c r="X823" i="3"/>
  <c r="W823" i="3" s="1"/>
  <c r="Y823" i="3" s="1"/>
  <c r="Z823" i="3" s="1"/>
  <c r="AB823" i="3" s="1"/>
  <c r="X824" i="3"/>
  <c r="W824" i="3" s="1"/>
  <c r="Y824" i="3" s="1"/>
  <c r="Z824" i="3" s="1"/>
  <c r="AB824" i="3" s="1"/>
  <c r="X825" i="3"/>
  <c r="W825" i="3" s="1"/>
  <c r="Y825" i="3" s="1"/>
  <c r="Z825" i="3" s="1"/>
  <c r="AA825" i="3" s="1"/>
  <c r="X826" i="3"/>
  <c r="W826" i="3" s="1"/>
  <c r="Y826" i="3" s="1"/>
  <c r="Z826" i="3" s="1"/>
  <c r="X827" i="3"/>
  <c r="W827" i="3" s="1"/>
  <c r="Y827" i="3" s="1"/>
  <c r="Z827" i="3" s="1"/>
  <c r="X828" i="3"/>
  <c r="W828" i="3" s="1"/>
  <c r="Y828" i="3" s="1"/>
  <c r="Z828" i="3" s="1"/>
  <c r="X829" i="3"/>
  <c r="W829" i="3" s="1"/>
  <c r="Y829" i="3" s="1"/>
  <c r="Z829" i="3" s="1"/>
  <c r="AA829" i="3" s="1"/>
  <c r="X830" i="3"/>
  <c r="W830" i="3" s="1"/>
  <c r="Y830" i="3" s="1"/>
  <c r="Z830" i="3" s="1"/>
  <c r="AA830" i="3" s="1"/>
  <c r="X831" i="3"/>
  <c r="W831" i="3" s="1"/>
  <c r="Y831" i="3" s="1"/>
  <c r="Z831" i="3" s="1"/>
  <c r="X832" i="3"/>
  <c r="W832" i="3" s="1"/>
  <c r="Y832" i="3" s="1"/>
  <c r="Z832" i="3" s="1"/>
  <c r="AA832" i="3" s="1"/>
  <c r="X833" i="3"/>
  <c r="W833" i="3" s="1"/>
  <c r="Y833" i="3" s="1"/>
  <c r="Z833" i="3" s="1"/>
  <c r="X834" i="3"/>
  <c r="W834" i="3" s="1"/>
  <c r="Y834" i="3" s="1"/>
  <c r="Z834" i="3" s="1"/>
  <c r="X835" i="3"/>
  <c r="W835" i="3" s="1"/>
  <c r="Y835" i="3" s="1"/>
  <c r="Z835" i="3" s="1"/>
  <c r="X836" i="3"/>
  <c r="W836" i="3" s="1"/>
  <c r="Y836" i="3" s="1"/>
  <c r="Z836" i="3" s="1"/>
  <c r="X837" i="3"/>
  <c r="W837" i="3" s="1"/>
  <c r="Y837" i="3" s="1"/>
  <c r="Z837" i="3" s="1"/>
  <c r="W838" i="3"/>
  <c r="Y838" i="3" s="1"/>
  <c r="Z838" i="3" s="1"/>
  <c r="AA838" i="3" s="1"/>
  <c r="X838" i="3"/>
  <c r="X839" i="3"/>
  <c r="W839" i="3" s="1"/>
  <c r="Y839" i="3" s="1"/>
  <c r="Z839" i="3" s="1"/>
  <c r="AA839" i="3" s="1"/>
  <c r="X840" i="3"/>
  <c r="W840" i="3" s="1"/>
  <c r="Y840" i="3" s="1"/>
  <c r="Z840" i="3" s="1"/>
  <c r="AB840" i="3" s="1"/>
  <c r="X841" i="3"/>
  <c r="W841" i="3" s="1"/>
  <c r="Y841" i="3" s="1"/>
  <c r="Z841" i="3" s="1"/>
  <c r="AA841" i="3" s="1"/>
  <c r="X842" i="3"/>
  <c r="W842" i="3" s="1"/>
  <c r="Y842" i="3" s="1"/>
  <c r="Z842" i="3" s="1"/>
  <c r="W843" i="3"/>
  <c r="Y843" i="3" s="1"/>
  <c r="Z843" i="3" s="1"/>
  <c r="X843" i="3"/>
  <c r="X844" i="3"/>
  <c r="W844" i="3" s="1"/>
  <c r="Y844" i="3" s="1"/>
  <c r="Z844" i="3" s="1"/>
  <c r="X845" i="3"/>
  <c r="W845" i="3" s="1"/>
  <c r="Y845" i="3" s="1"/>
  <c r="Z845" i="3" s="1"/>
  <c r="AB845" i="3" s="1"/>
  <c r="W846" i="3"/>
  <c r="Y846" i="3" s="1"/>
  <c r="Z846" i="3" s="1"/>
  <c r="X846" i="3"/>
  <c r="X847" i="3"/>
  <c r="W847" i="3" s="1"/>
  <c r="Y847" i="3" s="1"/>
  <c r="Z847" i="3" s="1"/>
  <c r="AA847" i="3" s="1"/>
  <c r="X848" i="3"/>
  <c r="W848" i="3" s="1"/>
  <c r="Y848" i="3" s="1"/>
  <c r="Z848" i="3" s="1"/>
  <c r="X849" i="3"/>
  <c r="W849" i="3" s="1"/>
  <c r="Y849" i="3" s="1"/>
  <c r="Z849" i="3" s="1"/>
  <c r="AA849" i="3" s="1"/>
  <c r="X850" i="3"/>
  <c r="W850" i="3" s="1"/>
  <c r="Y850" i="3" s="1"/>
  <c r="Z850" i="3" s="1"/>
  <c r="X851" i="3"/>
  <c r="W851" i="3" s="1"/>
  <c r="Y851" i="3" s="1"/>
  <c r="Z851" i="3" s="1"/>
  <c r="X852" i="3"/>
  <c r="W852" i="3" s="1"/>
  <c r="Y852" i="3" s="1"/>
  <c r="Z852" i="3" s="1"/>
  <c r="AA852" i="3" s="1"/>
  <c r="X853" i="3"/>
  <c r="W853" i="3" s="1"/>
  <c r="Y853" i="3" s="1"/>
  <c r="Z853" i="3" s="1"/>
  <c r="AB853" i="3" s="1"/>
  <c r="X854" i="3"/>
  <c r="W854" i="3" s="1"/>
  <c r="Y854" i="3" s="1"/>
  <c r="Z854" i="3" s="1"/>
  <c r="AA854" i="3" s="1"/>
  <c r="X855" i="3"/>
  <c r="W855" i="3" s="1"/>
  <c r="Y855" i="3" s="1"/>
  <c r="Z855" i="3" s="1"/>
  <c r="AA855" i="3" s="1"/>
  <c r="X856" i="3"/>
  <c r="W856" i="3" s="1"/>
  <c r="Y856" i="3" s="1"/>
  <c r="Z856" i="3" s="1"/>
  <c r="W857" i="3"/>
  <c r="Y857" i="3" s="1"/>
  <c r="Z857" i="3" s="1"/>
  <c r="X857" i="3"/>
  <c r="X858" i="3"/>
  <c r="W858" i="3" s="1"/>
  <c r="Y858" i="3" s="1"/>
  <c r="Z858" i="3" s="1"/>
  <c r="AA858" i="3" s="1"/>
  <c r="X859" i="3"/>
  <c r="W859" i="3" s="1"/>
  <c r="Y859" i="3" s="1"/>
  <c r="Z859" i="3" s="1"/>
  <c r="AB859" i="3" s="1"/>
  <c r="X860" i="3"/>
  <c r="W860" i="3" s="1"/>
  <c r="Y860" i="3" s="1"/>
  <c r="Z860" i="3" s="1"/>
  <c r="AA860" i="3" s="1"/>
  <c r="X861" i="3"/>
  <c r="W861" i="3" s="1"/>
  <c r="Y861" i="3" s="1"/>
  <c r="Z861" i="3" s="1"/>
  <c r="AB861" i="3" s="1"/>
  <c r="X862" i="3"/>
  <c r="W862" i="3" s="1"/>
  <c r="Y862" i="3" s="1"/>
  <c r="Z862" i="3" s="1"/>
  <c r="X863" i="3"/>
  <c r="W863" i="3" s="1"/>
  <c r="Y863" i="3" s="1"/>
  <c r="Z863" i="3" s="1"/>
  <c r="X864" i="3"/>
  <c r="W864" i="3" s="1"/>
  <c r="Y864" i="3" s="1"/>
  <c r="Z864" i="3" s="1"/>
  <c r="AB864" i="3" s="1"/>
  <c r="X865" i="3"/>
  <c r="W865" i="3" s="1"/>
  <c r="Y865" i="3" s="1"/>
  <c r="Z865" i="3" s="1"/>
  <c r="X866" i="3"/>
  <c r="W866" i="3" s="1"/>
  <c r="Y866" i="3" s="1"/>
  <c r="Z866" i="3" s="1"/>
  <c r="X867" i="3"/>
  <c r="W867" i="3" s="1"/>
  <c r="Y867" i="3" s="1"/>
  <c r="Z867" i="3" s="1"/>
  <c r="X868" i="3"/>
  <c r="W868" i="3" s="1"/>
  <c r="Y868" i="3" s="1"/>
  <c r="Z868" i="3" s="1"/>
  <c r="X869" i="3"/>
  <c r="W869" i="3" s="1"/>
  <c r="Y869" i="3" s="1"/>
  <c r="Z869" i="3" s="1"/>
  <c r="X870" i="3"/>
  <c r="W870" i="3" s="1"/>
  <c r="Y870" i="3" s="1"/>
  <c r="Z870" i="3" s="1"/>
  <c r="AA870" i="3" s="1"/>
  <c r="X871" i="3"/>
  <c r="W871" i="3" s="1"/>
  <c r="Y871" i="3" s="1"/>
  <c r="Z871" i="3" s="1"/>
  <c r="X872" i="3"/>
  <c r="W872" i="3" s="1"/>
  <c r="Y872" i="3" s="1"/>
  <c r="Z872" i="3" s="1"/>
  <c r="W873" i="3"/>
  <c r="Y873" i="3" s="1"/>
  <c r="Z873" i="3" s="1"/>
  <c r="X873" i="3"/>
  <c r="X874" i="3"/>
  <c r="W874" i="3" s="1"/>
  <c r="Y874" i="3" s="1"/>
  <c r="Z874" i="3" s="1"/>
  <c r="X875" i="3"/>
  <c r="W875" i="3" s="1"/>
  <c r="Y875" i="3" s="1"/>
  <c r="Z875" i="3" s="1"/>
  <c r="X876" i="3"/>
  <c r="W876" i="3" s="1"/>
  <c r="Y876" i="3" s="1"/>
  <c r="Z876" i="3" s="1"/>
  <c r="X877" i="3"/>
  <c r="W877" i="3" s="1"/>
  <c r="Y877" i="3" s="1"/>
  <c r="Z877" i="3" s="1"/>
  <c r="AA877" i="3" s="1"/>
  <c r="X878" i="3"/>
  <c r="W878" i="3" s="1"/>
  <c r="Y878" i="3" s="1"/>
  <c r="Z878" i="3" s="1"/>
  <c r="X879" i="3"/>
  <c r="W879" i="3" s="1"/>
  <c r="Y879" i="3" s="1"/>
  <c r="Z879" i="3" s="1"/>
  <c r="X880" i="3"/>
  <c r="W880" i="3" s="1"/>
  <c r="Y880" i="3" s="1"/>
  <c r="Z880" i="3" s="1"/>
  <c r="X881" i="3"/>
  <c r="W881" i="3" s="1"/>
  <c r="Y881" i="3" s="1"/>
  <c r="Z881" i="3" s="1"/>
  <c r="X882" i="3"/>
  <c r="W882" i="3" s="1"/>
  <c r="Y882" i="3" s="1"/>
  <c r="Z882" i="3" s="1"/>
  <c r="X883" i="3"/>
  <c r="W883" i="3" s="1"/>
  <c r="Y883" i="3" s="1"/>
  <c r="Z883" i="3" s="1"/>
  <c r="X884" i="3"/>
  <c r="W884" i="3" s="1"/>
  <c r="Y884" i="3" s="1"/>
  <c r="Z884" i="3" s="1"/>
  <c r="AB884" i="3" s="1"/>
  <c r="X885" i="3"/>
  <c r="W885" i="3" s="1"/>
  <c r="Y885" i="3" s="1"/>
  <c r="Z885" i="3" s="1"/>
  <c r="W886" i="3"/>
  <c r="Y886" i="3" s="1"/>
  <c r="Z886" i="3" s="1"/>
  <c r="AA886" i="3" s="1"/>
  <c r="X886" i="3"/>
  <c r="X887" i="3"/>
  <c r="W887" i="3" s="1"/>
  <c r="Y887" i="3" s="1"/>
  <c r="Z887" i="3" s="1"/>
  <c r="X888" i="3"/>
  <c r="W888" i="3" s="1"/>
  <c r="Y888" i="3" s="1"/>
  <c r="Z888" i="3" s="1"/>
  <c r="AB888" i="3" s="1"/>
  <c r="X889" i="3"/>
  <c r="W889" i="3" s="1"/>
  <c r="Y889" i="3" s="1"/>
  <c r="Z889" i="3" s="1"/>
  <c r="AA889" i="3" s="1"/>
  <c r="X890" i="3"/>
  <c r="W890" i="3" s="1"/>
  <c r="Y890" i="3" s="1"/>
  <c r="Z890" i="3" s="1"/>
  <c r="X891" i="3"/>
  <c r="W891" i="3" s="1"/>
  <c r="Y891" i="3" s="1"/>
  <c r="Z891" i="3" s="1"/>
  <c r="X892" i="3"/>
  <c r="W892" i="3" s="1"/>
  <c r="Y892" i="3" s="1"/>
  <c r="Z892" i="3" s="1"/>
  <c r="X893" i="3"/>
  <c r="W893" i="3" s="1"/>
  <c r="Y893" i="3" s="1"/>
  <c r="Z893" i="3" s="1"/>
  <c r="X894" i="3"/>
  <c r="W894" i="3" s="1"/>
  <c r="Y894" i="3" s="1"/>
  <c r="Z894" i="3" s="1"/>
  <c r="X895" i="3"/>
  <c r="W895" i="3" s="1"/>
  <c r="Y895" i="3" s="1"/>
  <c r="Z895" i="3" s="1"/>
  <c r="X896" i="3"/>
  <c r="W896" i="3" s="1"/>
  <c r="Y896" i="3" s="1"/>
  <c r="Z896" i="3" s="1"/>
  <c r="W897" i="3"/>
  <c r="Y897" i="3" s="1"/>
  <c r="Z897" i="3" s="1"/>
  <c r="X897" i="3"/>
  <c r="W898" i="3"/>
  <c r="Y898" i="3" s="1"/>
  <c r="Z898" i="3" s="1"/>
  <c r="X898" i="3"/>
  <c r="X899" i="3"/>
  <c r="W899" i="3" s="1"/>
  <c r="Y899" i="3" s="1"/>
  <c r="Z899" i="3" s="1"/>
  <c r="X900" i="3"/>
  <c r="W900" i="3" s="1"/>
  <c r="Y900" i="3" s="1"/>
  <c r="Z900" i="3" s="1"/>
  <c r="X901" i="3"/>
  <c r="W901" i="3" s="1"/>
  <c r="Y901" i="3" s="1"/>
  <c r="Z901" i="3" s="1"/>
  <c r="X902" i="3"/>
  <c r="W902" i="3" s="1"/>
  <c r="Y902" i="3" s="1"/>
  <c r="Z902" i="3" s="1"/>
  <c r="X903" i="3"/>
  <c r="W903" i="3" s="1"/>
  <c r="Y903" i="3" s="1"/>
  <c r="Z903" i="3" s="1"/>
  <c r="X904" i="3"/>
  <c r="W904" i="3" s="1"/>
  <c r="Y904" i="3" s="1"/>
  <c r="Z904" i="3" s="1"/>
  <c r="X905" i="3"/>
  <c r="W905" i="3" s="1"/>
  <c r="Y905" i="3" s="1"/>
  <c r="Z905" i="3" s="1"/>
  <c r="X906" i="3"/>
  <c r="W906" i="3" s="1"/>
  <c r="Y906" i="3" s="1"/>
  <c r="Z906" i="3" s="1"/>
  <c r="X907" i="3"/>
  <c r="W907" i="3" s="1"/>
  <c r="Y907" i="3" s="1"/>
  <c r="Z907" i="3" s="1"/>
  <c r="X908" i="3"/>
  <c r="W908" i="3" s="1"/>
  <c r="Y908" i="3" s="1"/>
  <c r="Z908" i="3" s="1"/>
  <c r="AA908" i="3" s="1"/>
  <c r="X909" i="3"/>
  <c r="W909" i="3" s="1"/>
  <c r="Y909" i="3" s="1"/>
  <c r="Z909" i="3" s="1"/>
  <c r="AA909" i="3" s="1"/>
  <c r="X910" i="3"/>
  <c r="W910" i="3" s="1"/>
  <c r="Y910" i="3" s="1"/>
  <c r="Z910" i="3" s="1"/>
  <c r="X911" i="3"/>
  <c r="W911" i="3" s="1"/>
  <c r="Y911" i="3" s="1"/>
  <c r="Z911" i="3" s="1"/>
  <c r="X912" i="3"/>
  <c r="W912" i="3" s="1"/>
  <c r="Y912" i="3" s="1"/>
  <c r="Z912" i="3" s="1"/>
  <c r="X913" i="3"/>
  <c r="W913" i="3" s="1"/>
  <c r="Y913" i="3" s="1"/>
  <c r="Z913" i="3" s="1"/>
  <c r="W914" i="3"/>
  <c r="Y914" i="3" s="1"/>
  <c r="Z914" i="3" s="1"/>
  <c r="X914" i="3"/>
  <c r="X915" i="3"/>
  <c r="W915" i="3" s="1"/>
  <c r="Y915" i="3" s="1"/>
  <c r="Z915" i="3" s="1"/>
  <c r="AA915" i="3" s="1"/>
  <c r="X916" i="3"/>
  <c r="W916" i="3" s="1"/>
  <c r="Y916" i="3" s="1"/>
  <c r="Z916" i="3" s="1"/>
  <c r="X917" i="3"/>
  <c r="W917" i="3" s="1"/>
  <c r="Y917" i="3" s="1"/>
  <c r="Z917" i="3" s="1"/>
  <c r="X918" i="3"/>
  <c r="W918" i="3" s="1"/>
  <c r="Y918" i="3" s="1"/>
  <c r="Z918" i="3" s="1"/>
  <c r="X919" i="3"/>
  <c r="W919" i="3" s="1"/>
  <c r="Y919" i="3" s="1"/>
  <c r="Z919" i="3" s="1"/>
  <c r="X920" i="3"/>
  <c r="W920" i="3" s="1"/>
  <c r="Y920" i="3" s="1"/>
  <c r="Z920" i="3" s="1"/>
  <c r="X921" i="3"/>
  <c r="W921" i="3" s="1"/>
  <c r="Y921" i="3" s="1"/>
  <c r="Z921" i="3" s="1"/>
  <c r="X922" i="3"/>
  <c r="W922" i="3" s="1"/>
  <c r="Y922" i="3" s="1"/>
  <c r="Z922" i="3" s="1"/>
  <c r="X923" i="3"/>
  <c r="W923" i="3" s="1"/>
  <c r="Y923" i="3" s="1"/>
  <c r="Z923" i="3" s="1"/>
  <c r="X924" i="3"/>
  <c r="W924" i="3" s="1"/>
  <c r="Y924" i="3" s="1"/>
  <c r="Z924" i="3" s="1"/>
  <c r="AA924" i="3" s="1"/>
  <c r="X925" i="3"/>
  <c r="W925" i="3" s="1"/>
  <c r="Y925" i="3" s="1"/>
  <c r="Z925" i="3" s="1"/>
  <c r="AA925" i="3" s="1"/>
  <c r="X926" i="3"/>
  <c r="W926" i="3" s="1"/>
  <c r="Y926" i="3" s="1"/>
  <c r="Z926" i="3" s="1"/>
  <c r="X927" i="3"/>
  <c r="W927" i="3" s="1"/>
  <c r="Y927" i="3" s="1"/>
  <c r="Z927" i="3" s="1"/>
  <c r="X928" i="3"/>
  <c r="W928" i="3" s="1"/>
  <c r="Y928" i="3" s="1"/>
  <c r="Z928" i="3" s="1"/>
  <c r="X929" i="3"/>
  <c r="W929" i="3" s="1"/>
  <c r="Y929" i="3" s="1"/>
  <c r="Z929" i="3" s="1"/>
  <c r="X930" i="3"/>
  <c r="W930" i="3" s="1"/>
  <c r="Y930" i="3" s="1"/>
  <c r="Z930" i="3" s="1"/>
  <c r="X931" i="3"/>
  <c r="W931" i="3" s="1"/>
  <c r="Y931" i="3" s="1"/>
  <c r="Z931" i="3" s="1"/>
  <c r="AA931" i="3" s="1"/>
  <c r="X932" i="3"/>
  <c r="W932" i="3" s="1"/>
  <c r="Y932" i="3" s="1"/>
  <c r="Z932" i="3" s="1"/>
  <c r="X933" i="3"/>
  <c r="W933" i="3" s="1"/>
  <c r="Y933" i="3" s="1"/>
  <c r="Z933" i="3" s="1"/>
  <c r="X934" i="3"/>
  <c r="W934" i="3" s="1"/>
  <c r="Y934" i="3" s="1"/>
  <c r="Z934" i="3" s="1"/>
  <c r="X935" i="3"/>
  <c r="W935" i="3" s="1"/>
  <c r="Y935" i="3" s="1"/>
  <c r="Z935" i="3" s="1"/>
  <c r="X936" i="3"/>
  <c r="W936" i="3" s="1"/>
  <c r="Y936" i="3" s="1"/>
  <c r="Z936" i="3" s="1"/>
  <c r="X937" i="3"/>
  <c r="W937" i="3" s="1"/>
  <c r="Y937" i="3" s="1"/>
  <c r="Z937" i="3" s="1"/>
  <c r="X938" i="3"/>
  <c r="W938" i="3" s="1"/>
  <c r="Y938" i="3" s="1"/>
  <c r="Z938" i="3" s="1"/>
  <c r="X939" i="3"/>
  <c r="W939" i="3" s="1"/>
  <c r="Y939" i="3" s="1"/>
  <c r="Z939" i="3" s="1"/>
  <c r="X940" i="3"/>
  <c r="W940" i="3" s="1"/>
  <c r="Y940" i="3" s="1"/>
  <c r="Z940" i="3" s="1"/>
  <c r="AA940" i="3" s="1"/>
  <c r="X941" i="3"/>
  <c r="W941" i="3" s="1"/>
  <c r="Y941" i="3" s="1"/>
  <c r="Z941" i="3" s="1"/>
  <c r="AA941" i="3" s="1"/>
  <c r="X942" i="3"/>
  <c r="W942" i="3" s="1"/>
  <c r="Y942" i="3" s="1"/>
  <c r="Z942" i="3" s="1"/>
  <c r="X943" i="3"/>
  <c r="W943" i="3" s="1"/>
  <c r="Y943" i="3" s="1"/>
  <c r="Z943" i="3" s="1"/>
  <c r="X944" i="3"/>
  <c r="W944" i="3" s="1"/>
  <c r="Y944" i="3" s="1"/>
  <c r="Z944" i="3" s="1"/>
  <c r="W945" i="3"/>
  <c r="Y945" i="3" s="1"/>
  <c r="Z945" i="3" s="1"/>
  <c r="X945" i="3"/>
  <c r="X946" i="3"/>
  <c r="W946" i="3" s="1"/>
  <c r="Y946" i="3" s="1"/>
  <c r="Z946" i="3" s="1"/>
  <c r="X947" i="3"/>
  <c r="W947" i="3" s="1"/>
  <c r="Y947" i="3" s="1"/>
  <c r="Z947" i="3" s="1"/>
  <c r="AA947" i="3" s="1"/>
  <c r="X948" i="3"/>
  <c r="W948" i="3" s="1"/>
  <c r="Y948" i="3" s="1"/>
  <c r="Z948" i="3" s="1"/>
  <c r="X949" i="3"/>
  <c r="W949" i="3" s="1"/>
  <c r="Y949" i="3" s="1"/>
  <c r="Z949" i="3" s="1"/>
  <c r="X950" i="3"/>
  <c r="W950" i="3" s="1"/>
  <c r="Y950" i="3" s="1"/>
  <c r="Z950" i="3" s="1"/>
  <c r="X951" i="3"/>
  <c r="W951" i="3" s="1"/>
  <c r="Y951" i="3" s="1"/>
  <c r="Z951" i="3" s="1"/>
  <c r="X952" i="3"/>
  <c r="W952" i="3" s="1"/>
  <c r="Y952" i="3" s="1"/>
  <c r="Z952" i="3" s="1"/>
  <c r="X953" i="3"/>
  <c r="W953" i="3" s="1"/>
  <c r="Y953" i="3" s="1"/>
  <c r="Z953" i="3" s="1"/>
  <c r="X954" i="3"/>
  <c r="W954" i="3" s="1"/>
  <c r="Y954" i="3" s="1"/>
  <c r="Z954" i="3" s="1"/>
  <c r="X955" i="3"/>
  <c r="W955" i="3" s="1"/>
  <c r="Y955" i="3" s="1"/>
  <c r="Z955" i="3" s="1"/>
  <c r="X956" i="3"/>
  <c r="W956" i="3" s="1"/>
  <c r="Y956" i="3" s="1"/>
  <c r="Z956" i="3" s="1"/>
  <c r="X957" i="3"/>
  <c r="W957" i="3" s="1"/>
  <c r="Y957" i="3" s="1"/>
  <c r="Z957" i="3" s="1"/>
  <c r="X958" i="3"/>
  <c r="W958" i="3" s="1"/>
  <c r="Y958" i="3" s="1"/>
  <c r="Z958" i="3" s="1"/>
  <c r="X959" i="3"/>
  <c r="W959" i="3" s="1"/>
  <c r="Y959" i="3" s="1"/>
  <c r="Z959" i="3" s="1"/>
  <c r="X960" i="3"/>
  <c r="W960" i="3" s="1"/>
  <c r="Y960" i="3" s="1"/>
  <c r="Z960" i="3" s="1"/>
  <c r="X961" i="3"/>
  <c r="W961" i="3" s="1"/>
  <c r="Y961" i="3" s="1"/>
  <c r="Z961" i="3" s="1"/>
  <c r="X962" i="3"/>
  <c r="W962" i="3" s="1"/>
  <c r="Y962" i="3" s="1"/>
  <c r="Z962" i="3" s="1"/>
  <c r="X963" i="3"/>
  <c r="W963" i="3" s="1"/>
  <c r="Y963" i="3" s="1"/>
  <c r="Z963" i="3" s="1"/>
  <c r="X964" i="3"/>
  <c r="W964" i="3" s="1"/>
  <c r="Y964" i="3" s="1"/>
  <c r="Z964" i="3" s="1"/>
  <c r="X965" i="3"/>
  <c r="W965" i="3" s="1"/>
  <c r="Y965" i="3" s="1"/>
  <c r="Z965" i="3" s="1"/>
  <c r="X966" i="3"/>
  <c r="W966" i="3" s="1"/>
  <c r="Y966" i="3" s="1"/>
  <c r="Z966" i="3" s="1"/>
  <c r="X967" i="3"/>
  <c r="W967" i="3" s="1"/>
  <c r="Y967" i="3" s="1"/>
  <c r="Z967" i="3" s="1"/>
  <c r="X968" i="3"/>
  <c r="W968" i="3" s="1"/>
  <c r="Y968" i="3" s="1"/>
  <c r="Z968" i="3" s="1"/>
  <c r="X969" i="3"/>
  <c r="W969" i="3" s="1"/>
  <c r="Y969" i="3" s="1"/>
  <c r="Z969" i="3" s="1"/>
  <c r="X970" i="3"/>
  <c r="W970" i="3" s="1"/>
  <c r="Y970" i="3" s="1"/>
  <c r="Z970" i="3" s="1"/>
  <c r="X971" i="3"/>
  <c r="W971" i="3" s="1"/>
  <c r="Y971" i="3" s="1"/>
  <c r="Z971" i="3" s="1"/>
  <c r="X972" i="3"/>
  <c r="W972" i="3" s="1"/>
  <c r="Y972" i="3" s="1"/>
  <c r="Z972" i="3" s="1"/>
  <c r="AA972" i="3" s="1"/>
  <c r="X973" i="3"/>
  <c r="W973" i="3" s="1"/>
  <c r="Y973" i="3" s="1"/>
  <c r="Z973" i="3" s="1"/>
  <c r="AB973" i="3" s="1"/>
  <c r="X974" i="3"/>
  <c r="W974" i="3" s="1"/>
  <c r="Y974" i="3" s="1"/>
  <c r="Z974" i="3" s="1"/>
  <c r="X975" i="3"/>
  <c r="W975" i="3" s="1"/>
  <c r="Y975" i="3" s="1"/>
  <c r="Z975" i="3" s="1"/>
  <c r="X976" i="3"/>
  <c r="W976" i="3" s="1"/>
  <c r="Y976" i="3" s="1"/>
  <c r="Z976" i="3" s="1"/>
  <c r="X977" i="3"/>
  <c r="W977" i="3" s="1"/>
  <c r="Y977" i="3" s="1"/>
  <c r="Z977" i="3" s="1"/>
  <c r="X978" i="3"/>
  <c r="W978" i="3" s="1"/>
  <c r="Y978" i="3" s="1"/>
  <c r="Z978" i="3" s="1"/>
  <c r="X979" i="3"/>
  <c r="W979" i="3" s="1"/>
  <c r="Y979" i="3" s="1"/>
  <c r="Z979" i="3" s="1"/>
  <c r="X980" i="3"/>
  <c r="W980" i="3" s="1"/>
  <c r="Y980" i="3" s="1"/>
  <c r="Z980" i="3" s="1"/>
  <c r="X981" i="3"/>
  <c r="W981" i="3" s="1"/>
  <c r="Y981" i="3" s="1"/>
  <c r="Z981" i="3" s="1"/>
  <c r="X982" i="3"/>
  <c r="W982" i="3" s="1"/>
  <c r="Y982" i="3" s="1"/>
  <c r="Z982" i="3" s="1"/>
  <c r="X983" i="3"/>
  <c r="W983" i="3" s="1"/>
  <c r="Y983" i="3" s="1"/>
  <c r="Z983" i="3" s="1"/>
  <c r="X984" i="3"/>
  <c r="W984" i="3" s="1"/>
  <c r="Y984" i="3" s="1"/>
  <c r="Z984" i="3" s="1"/>
  <c r="X985" i="3"/>
  <c r="W985" i="3" s="1"/>
  <c r="Y985" i="3" s="1"/>
  <c r="Z985" i="3" s="1"/>
  <c r="X986" i="3"/>
  <c r="W986" i="3" s="1"/>
  <c r="Y986" i="3" s="1"/>
  <c r="Z986" i="3" s="1"/>
  <c r="X987" i="3"/>
  <c r="W987" i="3" s="1"/>
  <c r="Y987" i="3" s="1"/>
  <c r="Z987" i="3" s="1"/>
  <c r="X988" i="3"/>
  <c r="W988" i="3" s="1"/>
  <c r="Y988" i="3" s="1"/>
  <c r="Z988" i="3" s="1"/>
  <c r="X989" i="3"/>
  <c r="W989" i="3" s="1"/>
  <c r="Y989" i="3" s="1"/>
  <c r="Z989" i="3" s="1"/>
  <c r="X990" i="3"/>
  <c r="W990" i="3" s="1"/>
  <c r="Y990" i="3" s="1"/>
  <c r="Z990" i="3" s="1"/>
  <c r="X991" i="3"/>
  <c r="W991" i="3" s="1"/>
  <c r="Y991" i="3" s="1"/>
  <c r="Z991" i="3" s="1"/>
  <c r="X992" i="3"/>
  <c r="W992" i="3" s="1"/>
  <c r="Y992" i="3" s="1"/>
  <c r="Z992" i="3" s="1"/>
  <c r="X993" i="3"/>
  <c r="W993" i="3" s="1"/>
  <c r="Y993" i="3" s="1"/>
  <c r="Z993" i="3" s="1"/>
  <c r="X994" i="3"/>
  <c r="W994" i="3" s="1"/>
  <c r="Y994" i="3" s="1"/>
  <c r="Z994" i="3" s="1"/>
  <c r="X995" i="3"/>
  <c r="W995" i="3" s="1"/>
  <c r="Y995" i="3" s="1"/>
  <c r="Z995" i="3" s="1"/>
  <c r="X996" i="3"/>
  <c r="W996" i="3" s="1"/>
  <c r="Y996" i="3" s="1"/>
  <c r="Z996" i="3" s="1"/>
  <c r="X997" i="3"/>
  <c r="W997" i="3" s="1"/>
  <c r="Y997" i="3" s="1"/>
  <c r="Z997" i="3" s="1"/>
  <c r="X998" i="3"/>
  <c r="W998" i="3" s="1"/>
  <c r="Y998" i="3" s="1"/>
  <c r="Z998" i="3" s="1"/>
  <c r="X999" i="3"/>
  <c r="W999" i="3" s="1"/>
  <c r="Y999" i="3" s="1"/>
  <c r="Z999" i="3" s="1"/>
  <c r="X1000" i="3"/>
  <c r="W1000" i="3" s="1"/>
  <c r="Y1000" i="3" s="1"/>
  <c r="Z1000" i="3" s="1"/>
  <c r="X1001" i="3"/>
  <c r="W1001" i="3" s="1"/>
  <c r="Y1001" i="3" s="1"/>
  <c r="Z1001" i="3" s="1"/>
  <c r="X1002" i="3"/>
  <c r="W1002" i="3" s="1"/>
  <c r="Y1002" i="3" s="1"/>
  <c r="Z1002" i="3" s="1"/>
  <c r="X1003" i="3"/>
  <c r="W1003" i="3" s="1"/>
  <c r="Y1003" i="3" s="1"/>
  <c r="Z1003" i="3" s="1"/>
  <c r="X1004" i="3"/>
  <c r="W1004" i="3" s="1"/>
  <c r="Y1004" i="3" s="1"/>
  <c r="Z1004" i="3" s="1"/>
  <c r="AA1004" i="3" s="1"/>
  <c r="X1005" i="3"/>
  <c r="W1005" i="3" s="1"/>
  <c r="Y1005" i="3" s="1"/>
  <c r="Z1005" i="3" s="1"/>
  <c r="AB1005" i="3" s="1"/>
  <c r="X1006" i="3"/>
  <c r="W1006" i="3" s="1"/>
  <c r="Y1006" i="3" s="1"/>
  <c r="Z1006" i="3" s="1"/>
  <c r="X1007" i="3"/>
  <c r="W1007" i="3" s="1"/>
  <c r="Y1007" i="3" s="1"/>
  <c r="Z1007" i="3" s="1"/>
  <c r="X1008" i="3"/>
  <c r="W1008" i="3" s="1"/>
  <c r="Y1008" i="3" s="1"/>
  <c r="Z1008" i="3" s="1"/>
  <c r="X1009" i="3"/>
  <c r="W1009" i="3" s="1"/>
  <c r="Y1009" i="3" s="1"/>
  <c r="Z1009" i="3" s="1"/>
  <c r="X1010" i="3"/>
  <c r="W1010" i="3" s="1"/>
  <c r="Y1010" i="3" s="1"/>
  <c r="Z1010" i="3" s="1"/>
  <c r="X1011" i="3"/>
  <c r="W1011" i="3" s="1"/>
  <c r="Y1011" i="3" s="1"/>
  <c r="Z1011" i="3" s="1"/>
  <c r="X1012" i="3"/>
  <c r="W1012" i="3" s="1"/>
  <c r="Y1012" i="3" s="1"/>
  <c r="Z1012" i="3" s="1"/>
  <c r="X1013" i="3"/>
  <c r="W1013" i="3" s="1"/>
  <c r="Y1013" i="3" s="1"/>
  <c r="Z1013" i="3" s="1"/>
  <c r="X1014" i="3"/>
  <c r="W1014" i="3" s="1"/>
  <c r="Y1014" i="3" s="1"/>
  <c r="Z1014" i="3" s="1"/>
  <c r="W1015" i="3"/>
  <c r="Y1015" i="3" s="1"/>
  <c r="Z1015" i="3" s="1"/>
  <c r="X1015" i="3"/>
  <c r="X1016" i="3"/>
  <c r="W1016" i="3" s="1"/>
  <c r="Y1016" i="3" s="1"/>
  <c r="Z1016" i="3" s="1"/>
  <c r="X1017" i="3"/>
  <c r="W1017" i="3" s="1"/>
  <c r="Y1017" i="3" s="1"/>
  <c r="Z1017" i="3" s="1"/>
  <c r="X1018" i="3"/>
  <c r="W1018" i="3" s="1"/>
  <c r="Y1018" i="3" s="1"/>
  <c r="Z1018" i="3" s="1"/>
  <c r="X1019" i="3"/>
  <c r="W1019" i="3" s="1"/>
  <c r="Y1019" i="3" s="1"/>
  <c r="Z1019" i="3" s="1"/>
  <c r="W1020" i="3"/>
  <c r="Y1020" i="3" s="1"/>
  <c r="Z1020" i="3" s="1"/>
  <c r="X1020" i="3"/>
  <c r="W1021" i="3"/>
  <c r="Y1021" i="3" s="1"/>
  <c r="Z1021" i="3" s="1"/>
  <c r="X1021" i="3"/>
  <c r="X1022" i="3"/>
  <c r="W1022" i="3" s="1"/>
  <c r="Y1022" i="3" s="1"/>
  <c r="Z1022" i="3" s="1"/>
  <c r="X1023" i="3"/>
  <c r="W1023" i="3" s="1"/>
  <c r="Y1023" i="3" s="1"/>
  <c r="Z1023" i="3" s="1"/>
  <c r="Q553" i="3"/>
  <c r="R553" i="3" s="1"/>
  <c r="Q554" i="3"/>
  <c r="R554" i="3" s="1"/>
  <c r="Q555" i="3"/>
  <c r="R555" i="3" s="1"/>
  <c r="Q556" i="3"/>
  <c r="R556" i="3" s="1"/>
  <c r="Q557" i="3"/>
  <c r="R557" i="3" s="1"/>
  <c r="Q558" i="3"/>
  <c r="R558" i="3" s="1"/>
  <c r="Q559" i="3"/>
  <c r="R559" i="3" s="1"/>
  <c r="Q560" i="3"/>
  <c r="R560" i="3" s="1"/>
  <c r="Q561" i="3"/>
  <c r="R561" i="3" s="1"/>
  <c r="Q562" i="3"/>
  <c r="R562" i="3" s="1"/>
  <c r="Q563" i="3"/>
  <c r="R563" i="3" s="1"/>
  <c r="Q564" i="3"/>
  <c r="R564" i="3" s="1"/>
  <c r="Q565" i="3"/>
  <c r="R565" i="3" s="1"/>
  <c r="Q566" i="3"/>
  <c r="R566" i="3" s="1"/>
  <c r="Q567" i="3"/>
  <c r="R567" i="3" s="1"/>
  <c r="Q568" i="3"/>
  <c r="R568" i="3" s="1"/>
  <c r="Q569" i="3"/>
  <c r="R569" i="3" s="1"/>
  <c r="Q570" i="3"/>
  <c r="R570" i="3" s="1"/>
  <c r="Q571" i="3"/>
  <c r="R571" i="3" s="1"/>
  <c r="Q572" i="3"/>
  <c r="R572" i="3" s="1"/>
  <c r="Q573" i="3"/>
  <c r="R573" i="3" s="1"/>
  <c r="Q574" i="3"/>
  <c r="R574" i="3" s="1"/>
  <c r="Q575" i="3"/>
  <c r="R575" i="3" s="1"/>
  <c r="Q576" i="3"/>
  <c r="R576" i="3" s="1"/>
  <c r="Q577" i="3"/>
  <c r="R577" i="3" s="1"/>
  <c r="Q578" i="3"/>
  <c r="R578" i="3" s="1"/>
  <c r="Q579" i="3"/>
  <c r="R579" i="3" s="1"/>
  <c r="Q580" i="3"/>
  <c r="R580" i="3" s="1"/>
  <c r="Q581" i="3"/>
  <c r="R581" i="3" s="1"/>
  <c r="Q582" i="3"/>
  <c r="R582" i="3" s="1"/>
  <c r="Q583" i="3"/>
  <c r="R583" i="3" s="1"/>
  <c r="Q584" i="3"/>
  <c r="R584" i="3" s="1"/>
  <c r="Q585" i="3"/>
  <c r="R585" i="3" s="1"/>
  <c r="Q586" i="3"/>
  <c r="R586" i="3" s="1"/>
  <c r="Q587" i="3"/>
  <c r="R587" i="3" s="1"/>
  <c r="Q588" i="3"/>
  <c r="R588" i="3" s="1"/>
  <c r="Q589" i="3"/>
  <c r="R589" i="3" s="1"/>
  <c r="Q590" i="3"/>
  <c r="R590" i="3" s="1"/>
  <c r="Q591" i="3"/>
  <c r="R591" i="3" s="1"/>
  <c r="Q592" i="3"/>
  <c r="R592" i="3" s="1"/>
  <c r="Q593" i="3"/>
  <c r="R593" i="3" s="1"/>
  <c r="Q594" i="3"/>
  <c r="R594" i="3" s="1"/>
  <c r="Q595" i="3"/>
  <c r="R595" i="3" s="1"/>
  <c r="Q596" i="3"/>
  <c r="R596" i="3" s="1"/>
  <c r="Q597" i="3"/>
  <c r="R597" i="3" s="1"/>
  <c r="Q598" i="3"/>
  <c r="R598" i="3" s="1"/>
  <c r="Q599" i="3"/>
  <c r="R599" i="3" s="1"/>
  <c r="Q600" i="3"/>
  <c r="R600" i="3" s="1"/>
  <c r="Q601" i="3"/>
  <c r="R601" i="3" s="1"/>
  <c r="Q602" i="3"/>
  <c r="R602" i="3" s="1"/>
  <c r="Q603" i="3"/>
  <c r="R603" i="3" s="1"/>
  <c r="Q604" i="3"/>
  <c r="R604" i="3" s="1"/>
  <c r="Q605" i="3"/>
  <c r="R605" i="3" s="1"/>
  <c r="Q606" i="3"/>
  <c r="R606" i="3" s="1"/>
  <c r="Q607" i="3"/>
  <c r="R607" i="3" s="1"/>
  <c r="Q608" i="3"/>
  <c r="R608" i="3" s="1"/>
  <c r="Q609" i="3"/>
  <c r="R609" i="3" s="1"/>
  <c r="Q610" i="3"/>
  <c r="R610" i="3" s="1"/>
  <c r="Q611" i="3"/>
  <c r="R611" i="3" s="1"/>
  <c r="Q612" i="3"/>
  <c r="R612" i="3" s="1"/>
  <c r="Q613" i="3"/>
  <c r="R613" i="3" s="1"/>
  <c r="Q614" i="3"/>
  <c r="R614" i="3" s="1"/>
  <c r="Q615" i="3"/>
  <c r="R615" i="3" s="1"/>
  <c r="Q616" i="3"/>
  <c r="R616" i="3" s="1"/>
  <c r="Q617" i="3"/>
  <c r="R617" i="3" s="1"/>
  <c r="Q618" i="3"/>
  <c r="R618" i="3" s="1"/>
  <c r="Q619" i="3"/>
  <c r="R619" i="3" s="1"/>
  <c r="Q620" i="3"/>
  <c r="R620" i="3" s="1"/>
  <c r="Q621" i="3"/>
  <c r="R621" i="3" s="1"/>
  <c r="Q622" i="3"/>
  <c r="R622" i="3" s="1"/>
  <c r="Q623" i="3"/>
  <c r="R623" i="3" s="1"/>
  <c r="Q624" i="3"/>
  <c r="R624" i="3" s="1"/>
  <c r="Q625" i="3"/>
  <c r="R625" i="3" s="1"/>
  <c r="Q626" i="3"/>
  <c r="R626" i="3" s="1"/>
  <c r="Q627" i="3"/>
  <c r="R627" i="3" s="1"/>
  <c r="Q628" i="3"/>
  <c r="R628" i="3" s="1"/>
  <c r="Q629" i="3"/>
  <c r="R629" i="3" s="1"/>
  <c r="Q630" i="3"/>
  <c r="R630" i="3" s="1"/>
  <c r="Q631" i="3"/>
  <c r="R631" i="3" s="1"/>
  <c r="Q632" i="3"/>
  <c r="R632" i="3" s="1"/>
  <c r="Q633" i="3"/>
  <c r="R633" i="3" s="1"/>
  <c r="Q634" i="3"/>
  <c r="R634" i="3" s="1"/>
  <c r="Q635" i="3"/>
  <c r="R635" i="3" s="1"/>
  <c r="Q636" i="3"/>
  <c r="R636" i="3" s="1"/>
  <c r="Q637" i="3"/>
  <c r="R637" i="3" s="1"/>
  <c r="Q638" i="3"/>
  <c r="R638" i="3" s="1"/>
  <c r="Q639" i="3"/>
  <c r="R639" i="3" s="1"/>
  <c r="Q640" i="3"/>
  <c r="R640" i="3" s="1"/>
  <c r="Q641" i="3"/>
  <c r="R641" i="3" s="1"/>
  <c r="Q642" i="3"/>
  <c r="R642" i="3" s="1"/>
  <c r="Q643" i="3"/>
  <c r="R643" i="3" s="1"/>
  <c r="Q644" i="3"/>
  <c r="R644" i="3" s="1"/>
  <c r="Q645" i="3"/>
  <c r="R645" i="3" s="1"/>
  <c r="Q646" i="3"/>
  <c r="R646" i="3" s="1"/>
  <c r="Q647" i="3"/>
  <c r="R647" i="3" s="1"/>
  <c r="Q648" i="3"/>
  <c r="R648" i="3" s="1"/>
  <c r="Q649" i="3"/>
  <c r="R649" i="3" s="1"/>
  <c r="Q650" i="3"/>
  <c r="R650" i="3" s="1"/>
  <c r="Q651" i="3"/>
  <c r="R651" i="3" s="1"/>
  <c r="Q652" i="3"/>
  <c r="R652" i="3" s="1"/>
  <c r="Q653" i="3"/>
  <c r="R653" i="3" s="1"/>
  <c r="Q654" i="3"/>
  <c r="R654" i="3" s="1"/>
  <c r="Q655" i="3"/>
  <c r="R655" i="3" s="1"/>
  <c r="Q656" i="3"/>
  <c r="R656" i="3" s="1"/>
  <c r="Q657" i="3"/>
  <c r="R657" i="3" s="1"/>
  <c r="Q658" i="3"/>
  <c r="R658" i="3" s="1"/>
  <c r="Q659" i="3"/>
  <c r="R659" i="3" s="1"/>
  <c r="Q660" i="3"/>
  <c r="R660" i="3" s="1"/>
  <c r="Q661" i="3"/>
  <c r="R661" i="3" s="1"/>
  <c r="Q662" i="3"/>
  <c r="R662" i="3" s="1"/>
  <c r="Q663" i="3"/>
  <c r="R663" i="3" s="1"/>
  <c r="Q664" i="3"/>
  <c r="R664" i="3" s="1"/>
  <c r="Q665" i="3"/>
  <c r="R665" i="3" s="1"/>
  <c r="Q666" i="3"/>
  <c r="R666" i="3" s="1"/>
  <c r="Q667" i="3"/>
  <c r="R667" i="3" s="1"/>
  <c r="Q668" i="3"/>
  <c r="R668" i="3" s="1"/>
  <c r="Q669" i="3"/>
  <c r="R669" i="3" s="1"/>
  <c r="Q670" i="3"/>
  <c r="R670" i="3" s="1"/>
  <c r="Q671" i="3"/>
  <c r="R671" i="3" s="1"/>
  <c r="Q672" i="3"/>
  <c r="R672" i="3" s="1"/>
  <c r="Q673" i="3"/>
  <c r="R673" i="3" s="1"/>
  <c r="Q674" i="3"/>
  <c r="R674" i="3" s="1"/>
  <c r="Q675" i="3"/>
  <c r="R675" i="3" s="1"/>
  <c r="Q676" i="3"/>
  <c r="R676" i="3" s="1"/>
  <c r="Q677" i="3"/>
  <c r="R677" i="3" s="1"/>
  <c r="Q678" i="3"/>
  <c r="R678" i="3" s="1"/>
  <c r="Q679" i="3"/>
  <c r="R679" i="3" s="1"/>
  <c r="Q680" i="3"/>
  <c r="R680" i="3" s="1"/>
  <c r="Q681" i="3"/>
  <c r="R681" i="3" s="1"/>
  <c r="Q682" i="3"/>
  <c r="R682" i="3" s="1"/>
  <c r="Q683" i="3"/>
  <c r="R683" i="3" s="1"/>
  <c r="Q684" i="3"/>
  <c r="R684" i="3" s="1"/>
  <c r="Q685" i="3"/>
  <c r="R685" i="3" s="1"/>
  <c r="Q686" i="3"/>
  <c r="R686" i="3" s="1"/>
  <c r="Q687" i="3"/>
  <c r="R687" i="3" s="1"/>
  <c r="Q688" i="3"/>
  <c r="R688" i="3" s="1"/>
  <c r="Q689" i="3"/>
  <c r="R689" i="3" s="1"/>
  <c r="Q690" i="3"/>
  <c r="R690" i="3" s="1"/>
  <c r="Q691" i="3"/>
  <c r="R691" i="3" s="1"/>
  <c r="Q692" i="3"/>
  <c r="R692" i="3" s="1"/>
  <c r="Q693" i="3"/>
  <c r="R693" i="3" s="1"/>
  <c r="Q694" i="3"/>
  <c r="R694" i="3" s="1"/>
  <c r="Q695" i="3"/>
  <c r="R695" i="3" s="1"/>
  <c r="Q696" i="3"/>
  <c r="R696" i="3" s="1"/>
  <c r="Q697" i="3"/>
  <c r="R697" i="3" s="1"/>
  <c r="Q698" i="3"/>
  <c r="R698" i="3" s="1"/>
  <c r="Q699" i="3"/>
  <c r="R699" i="3" s="1"/>
  <c r="Q700" i="3"/>
  <c r="R700" i="3" s="1"/>
  <c r="Q701" i="3"/>
  <c r="R701" i="3" s="1"/>
  <c r="Q702" i="3"/>
  <c r="R702" i="3" s="1"/>
  <c r="Q703" i="3"/>
  <c r="R703" i="3" s="1"/>
  <c r="Q704" i="3"/>
  <c r="R704" i="3" s="1"/>
  <c r="Q705" i="3"/>
  <c r="R705" i="3" s="1"/>
  <c r="Q706" i="3"/>
  <c r="R706" i="3" s="1"/>
  <c r="Q707" i="3"/>
  <c r="R707" i="3" s="1"/>
  <c r="Q708" i="3"/>
  <c r="R708" i="3" s="1"/>
  <c r="Q709" i="3"/>
  <c r="R709" i="3" s="1"/>
  <c r="Q710" i="3"/>
  <c r="R710" i="3" s="1"/>
  <c r="Q711" i="3"/>
  <c r="R711" i="3" s="1"/>
  <c r="Q712" i="3"/>
  <c r="R712" i="3" s="1"/>
  <c r="Q713" i="3"/>
  <c r="R713" i="3" s="1"/>
  <c r="Q714" i="3"/>
  <c r="R714" i="3" s="1"/>
  <c r="Q715" i="3"/>
  <c r="R715" i="3" s="1"/>
  <c r="Q716" i="3"/>
  <c r="R716" i="3" s="1"/>
  <c r="Q717" i="3"/>
  <c r="R717" i="3" s="1"/>
  <c r="Q718" i="3"/>
  <c r="R718" i="3" s="1"/>
  <c r="Q719" i="3"/>
  <c r="R719" i="3" s="1"/>
  <c r="Q720" i="3"/>
  <c r="R720" i="3" s="1"/>
  <c r="Q721" i="3"/>
  <c r="R721" i="3" s="1"/>
  <c r="Q722" i="3"/>
  <c r="R722" i="3" s="1"/>
  <c r="Q723" i="3"/>
  <c r="R723" i="3" s="1"/>
  <c r="Q724" i="3"/>
  <c r="R724" i="3" s="1"/>
  <c r="Q725" i="3"/>
  <c r="R725" i="3" s="1"/>
  <c r="Q726" i="3"/>
  <c r="R726" i="3" s="1"/>
  <c r="Q727" i="3"/>
  <c r="R727" i="3" s="1"/>
  <c r="Q728" i="3"/>
  <c r="R728" i="3" s="1"/>
  <c r="Q729" i="3"/>
  <c r="R729" i="3" s="1"/>
  <c r="Q730" i="3"/>
  <c r="R730" i="3" s="1"/>
  <c r="Q731" i="3"/>
  <c r="R731" i="3" s="1"/>
  <c r="Q732" i="3"/>
  <c r="R732" i="3" s="1"/>
  <c r="Q733" i="3"/>
  <c r="R733" i="3" s="1"/>
  <c r="Q734" i="3"/>
  <c r="R734" i="3" s="1"/>
  <c r="Q735" i="3"/>
  <c r="R735" i="3" s="1"/>
  <c r="Q736" i="3"/>
  <c r="R736" i="3" s="1"/>
  <c r="Q737" i="3"/>
  <c r="R737" i="3" s="1"/>
  <c r="Q738" i="3"/>
  <c r="R738" i="3" s="1"/>
  <c r="Q739" i="3"/>
  <c r="R739" i="3" s="1"/>
  <c r="Q740" i="3"/>
  <c r="R740" i="3" s="1"/>
  <c r="Q741" i="3"/>
  <c r="R741" i="3" s="1"/>
  <c r="Q742" i="3"/>
  <c r="R742" i="3" s="1"/>
  <c r="Q743" i="3"/>
  <c r="R743" i="3" s="1"/>
  <c r="Q744" i="3"/>
  <c r="R744" i="3" s="1"/>
  <c r="Q745" i="3"/>
  <c r="R745" i="3" s="1"/>
  <c r="Q746" i="3"/>
  <c r="R746" i="3" s="1"/>
  <c r="Q747" i="3"/>
  <c r="R747" i="3" s="1"/>
  <c r="Q748" i="3"/>
  <c r="R748" i="3" s="1"/>
  <c r="Q749" i="3"/>
  <c r="R749" i="3" s="1"/>
  <c r="Q750" i="3"/>
  <c r="R750" i="3" s="1"/>
  <c r="Q751" i="3"/>
  <c r="R751" i="3" s="1"/>
  <c r="Q752" i="3"/>
  <c r="R752" i="3" s="1"/>
  <c r="Q753" i="3"/>
  <c r="R753" i="3" s="1"/>
  <c r="Q754" i="3"/>
  <c r="R754" i="3" s="1"/>
  <c r="Q755" i="3"/>
  <c r="R755" i="3" s="1"/>
  <c r="Q756" i="3"/>
  <c r="R756" i="3" s="1"/>
  <c r="Q757" i="3"/>
  <c r="R757" i="3" s="1"/>
  <c r="Q758" i="3"/>
  <c r="R758" i="3" s="1"/>
  <c r="Q759" i="3"/>
  <c r="R759" i="3" s="1"/>
  <c r="Q760" i="3"/>
  <c r="R760" i="3" s="1"/>
  <c r="Q761" i="3"/>
  <c r="R761" i="3" s="1"/>
  <c r="Q762" i="3"/>
  <c r="R762" i="3" s="1"/>
  <c r="Q763" i="3"/>
  <c r="R763" i="3" s="1"/>
  <c r="Q764" i="3"/>
  <c r="R764" i="3" s="1"/>
  <c r="Q765" i="3"/>
  <c r="R765" i="3" s="1"/>
  <c r="Q766" i="3"/>
  <c r="R766" i="3" s="1"/>
  <c r="Q767" i="3"/>
  <c r="R767" i="3" s="1"/>
  <c r="Q768" i="3"/>
  <c r="R768" i="3" s="1"/>
  <c r="Q769" i="3"/>
  <c r="R769" i="3" s="1"/>
  <c r="Q770" i="3"/>
  <c r="R770" i="3" s="1"/>
  <c r="Q771" i="3"/>
  <c r="R771" i="3" s="1"/>
  <c r="Q772" i="3"/>
  <c r="R772" i="3" s="1"/>
  <c r="Q773" i="3"/>
  <c r="R773" i="3" s="1"/>
  <c r="Q774" i="3"/>
  <c r="R774" i="3" s="1"/>
  <c r="Q775" i="3"/>
  <c r="R775" i="3" s="1"/>
  <c r="Q776" i="3"/>
  <c r="R776" i="3" s="1"/>
  <c r="Q777" i="3"/>
  <c r="R777" i="3" s="1"/>
  <c r="Q778" i="3"/>
  <c r="R778" i="3" s="1"/>
  <c r="Q779" i="3"/>
  <c r="R779" i="3" s="1"/>
  <c r="Q780" i="3"/>
  <c r="R780" i="3" s="1"/>
  <c r="Q781" i="3"/>
  <c r="R781" i="3" s="1"/>
  <c r="Q782" i="3"/>
  <c r="R782" i="3" s="1"/>
  <c r="Q783" i="3"/>
  <c r="R783" i="3" s="1"/>
  <c r="Q784" i="3"/>
  <c r="R784" i="3" s="1"/>
  <c r="Q785" i="3"/>
  <c r="R785" i="3" s="1"/>
  <c r="Q786" i="3"/>
  <c r="R786" i="3" s="1"/>
  <c r="Q787" i="3"/>
  <c r="R787" i="3" s="1"/>
  <c r="Q788" i="3"/>
  <c r="R788" i="3" s="1"/>
  <c r="Q789" i="3"/>
  <c r="R789" i="3" s="1"/>
  <c r="Q790" i="3"/>
  <c r="R790" i="3" s="1"/>
  <c r="Q791" i="3"/>
  <c r="R791" i="3" s="1"/>
  <c r="Q792" i="3"/>
  <c r="R792" i="3" s="1"/>
  <c r="Q793" i="3"/>
  <c r="R793" i="3" s="1"/>
  <c r="Q794" i="3"/>
  <c r="R794" i="3" s="1"/>
  <c r="Q795" i="3"/>
  <c r="R795" i="3" s="1"/>
  <c r="Q796" i="3"/>
  <c r="R796" i="3" s="1"/>
  <c r="Q797" i="3"/>
  <c r="R797" i="3" s="1"/>
  <c r="Q798" i="3"/>
  <c r="R798" i="3" s="1"/>
  <c r="Q799" i="3"/>
  <c r="R799" i="3" s="1"/>
  <c r="Q800" i="3"/>
  <c r="R800" i="3" s="1"/>
  <c r="Q801" i="3"/>
  <c r="R801" i="3" s="1"/>
  <c r="Q802" i="3"/>
  <c r="R802" i="3" s="1"/>
  <c r="Q803" i="3"/>
  <c r="R803" i="3" s="1"/>
  <c r="Q804" i="3"/>
  <c r="R804" i="3" s="1"/>
  <c r="Q805" i="3"/>
  <c r="R805" i="3" s="1"/>
  <c r="Q806" i="3"/>
  <c r="R806" i="3" s="1"/>
  <c r="Q807" i="3"/>
  <c r="R807" i="3" s="1"/>
  <c r="Q808" i="3"/>
  <c r="R808" i="3" s="1"/>
  <c r="Q809" i="3"/>
  <c r="R809" i="3" s="1"/>
  <c r="Q810" i="3"/>
  <c r="R810" i="3" s="1"/>
  <c r="Q811" i="3"/>
  <c r="R811" i="3" s="1"/>
  <c r="Q812" i="3"/>
  <c r="R812" i="3" s="1"/>
  <c r="Q813" i="3"/>
  <c r="R813" i="3" s="1"/>
  <c r="Q814" i="3"/>
  <c r="R814" i="3" s="1"/>
  <c r="Q815" i="3"/>
  <c r="R815" i="3" s="1"/>
  <c r="Q816" i="3"/>
  <c r="R816" i="3" s="1"/>
  <c r="Q817" i="3"/>
  <c r="R817" i="3" s="1"/>
  <c r="Q818" i="3"/>
  <c r="R818" i="3" s="1"/>
  <c r="Q819" i="3"/>
  <c r="R819" i="3" s="1"/>
  <c r="Q820" i="3"/>
  <c r="R820" i="3" s="1"/>
  <c r="Q821" i="3"/>
  <c r="R821" i="3" s="1"/>
  <c r="Q822" i="3"/>
  <c r="R822" i="3" s="1"/>
  <c r="Q823" i="3"/>
  <c r="R823" i="3" s="1"/>
  <c r="Q824" i="3"/>
  <c r="R824" i="3" s="1"/>
  <c r="Q825" i="3"/>
  <c r="R825" i="3" s="1"/>
  <c r="Q826" i="3"/>
  <c r="R826" i="3" s="1"/>
  <c r="Q827" i="3"/>
  <c r="R827" i="3" s="1"/>
  <c r="Q828" i="3"/>
  <c r="R828" i="3" s="1"/>
  <c r="Q829" i="3"/>
  <c r="R829" i="3" s="1"/>
  <c r="Q830" i="3"/>
  <c r="R830" i="3" s="1"/>
  <c r="Q831" i="3"/>
  <c r="R831" i="3" s="1"/>
  <c r="Q832" i="3"/>
  <c r="R832" i="3" s="1"/>
  <c r="Q833" i="3"/>
  <c r="R833" i="3" s="1"/>
  <c r="Q834" i="3"/>
  <c r="R834" i="3" s="1"/>
  <c r="Q835" i="3"/>
  <c r="R835" i="3" s="1"/>
  <c r="Q836" i="3"/>
  <c r="R836" i="3" s="1"/>
  <c r="Q837" i="3"/>
  <c r="R837" i="3" s="1"/>
  <c r="Q838" i="3"/>
  <c r="R838" i="3" s="1"/>
  <c r="Q839" i="3"/>
  <c r="R839" i="3" s="1"/>
  <c r="Q840" i="3"/>
  <c r="R840" i="3" s="1"/>
  <c r="Q841" i="3"/>
  <c r="R841" i="3" s="1"/>
  <c r="Q842" i="3"/>
  <c r="R842" i="3" s="1"/>
  <c r="Q843" i="3"/>
  <c r="R843" i="3" s="1"/>
  <c r="Q844" i="3"/>
  <c r="R844" i="3" s="1"/>
  <c r="Q845" i="3"/>
  <c r="R845" i="3" s="1"/>
  <c r="Q846" i="3"/>
  <c r="R846" i="3" s="1"/>
  <c r="Q847" i="3"/>
  <c r="R847" i="3" s="1"/>
  <c r="Q848" i="3"/>
  <c r="R848" i="3" s="1"/>
  <c r="Q849" i="3"/>
  <c r="R849" i="3" s="1"/>
  <c r="Q850" i="3"/>
  <c r="R850" i="3" s="1"/>
  <c r="Q851" i="3"/>
  <c r="R851" i="3" s="1"/>
  <c r="Q852" i="3"/>
  <c r="R852" i="3" s="1"/>
  <c r="Q853" i="3"/>
  <c r="R853" i="3" s="1"/>
  <c r="Q854" i="3"/>
  <c r="R854" i="3" s="1"/>
  <c r="Q855" i="3"/>
  <c r="R855" i="3" s="1"/>
  <c r="Q856" i="3"/>
  <c r="R856" i="3" s="1"/>
  <c r="Q857" i="3"/>
  <c r="R857" i="3" s="1"/>
  <c r="Q858" i="3"/>
  <c r="R858" i="3" s="1"/>
  <c r="Q859" i="3"/>
  <c r="R859" i="3" s="1"/>
  <c r="Q860" i="3"/>
  <c r="R860" i="3" s="1"/>
  <c r="Q861" i="3"/>
  <c r="R861" i="3" s="1"/>
  <c r="Q862" i="3"/>
  <c r="R862" i="3" s="1"/>
  <c r="Q863" i="3"/>
  <c r="R863" i="3" s="1"/>
  <c r="Q864" i="3"/>
  <c r="R864" i="3" s="1"/>
  <c r="Q865" i="3"/>
  <c r="R865" i="3" s="1"/>
  <c r="Q866" i="3"/>
  <c r="R866" i="3" s="1"/>
  <c r="Q867" i="3"/>
  <c r="R867" i="3" s="1"/>
  <c r="Q868" i="3"/>
  <c r="R868" i="3" s="1"/>
  <c r="Q869" i="3"/>
  <c r="R869" i="3" s="1"/>
  <c r="Q870" i="3"/>
  <c r="R870" i="3" s="1"/>
  <c r="Q871" i="3"/>
  <c r="R871" i="3" s="1"/>
  <c r="Q872" i="3"/>
  <c r="R872" i="3" s="1"/>
  <c r="Q873" i="3"/>
  <c r="R873" i="3" s="1"/>
  <c r="Q874" i="3"/>
  <c r="R874" i="3" s="1"/>
  <c r="Q875" i="3"/>
  <c r="R875" i="3" s="1"/>
  <c r="Q876" i="3"/>
  <c r="R876" i="3" s="1"/>
  <c r="Q877" i="3"/>
  <c r="R877" i="3" s="1"/>
  <c r="Q878" i="3"/>
  <c r="R878" i="3" s="1"/>
  <c r="Q879" i="3"/>
  <c r="R879" i="3" s="1"/>
  <c r="Q880" i="3"/>
  <c r="R880" i="3" s="1"/>
  <c r="Q881" i="3"/>
  <c r="R881" i="3" s="1"/>
  <c r="Q882" i="3"/>
  <c r="R882" i="3" s="1"/>
  <c r="Q883" i="3"/>
  <c r="R883" i="3" s="1"/>
  <c r="Q884" i="3"/>
  <c r="R884" i="3" s="1"/>
  <c r="Q885" i="3"/>
  <c r="R885" i="3" s="1"/>
  <c r="Q886" i="3"/>
  <c r="R886" i="3" s="1"/>
  <c r="Q887" i="3"/>
  <c r="R887" i="3" s="1"/>
  <c r="Q888" i="3"/>
  <c r="R888" i="3" s="1"/>
  <c r="Q889" i="3"/>
  <c r="R889" i="3" s="1"/>
  <c r="Q890" i="3"/>
  <c r="R890" i="3" s="1"/>
  <c r="Q891" i="3"/>
  <c r="R891" i="3" s="1"/>
  <c r="Q892" i="3"/>
  <c r="R892" i="3" s="1"/>
  <c r="Q893" i="3"/>
  <c r="R893" i="3" s="1"/>
  <c r="Q894" i="3"/>
  <c r="R894" i="3" s="1"/>
  <c r="Q895" i="3"/>
  <c r="R895" i="3" s="1"/>
  <c r="Q896" i="3"/>
  <c r="R896" i="3" s="1"/>
  <c r="Q897" i="3"/>
  <c r="R897" i="3" s="1"/>
  <c r="Q898" i="3"/>
  <c r="R898" i="3" s="1"/>
  <c r="Q899" i="3"/>
  <c r="R899" i="3" s="1"/>
  <c r="Q900" i="3"/>
  <c r="R900" i="3" s="1"/>
  <c r="Q901" i="3"/>
  <c r="R901" i="3" s="1"/>
  <c r="Q902" i="3"/>
  <c r="R902" i="3" s="1"/>
  <c r="Q903" i="3"/>
  <c r="R903" i="3" s="1"/>
  <c r="Q904" i="3"/>
  <c r="R904" i="3" s="1"/>
  <c r="Q905" i="3"/>
  <c r="R905" i="3" s="1"/>
  <c r="Q906" i="3"/>
  <c r="R906" i="3" s="1"/>
  <c r="Q907" i="3"/>
  <c r="R907" i="3" s="1"/>
  <c r="Q908" i="3"/>
  <c r="R908" i="3" s="1"/>
  <c r="Q909" i="3"/>
  <c r="R909" i="3" s="1"/>
  <c r="Q910" i="3"/>
  <c r="R910" i="3" s="1"/>
  <c r="Q911" i="3"/>
  <c r="R911" i="3" s="1"/>
  <c r="Q912" i="3"/>
  <c r="R912" i="3" s="1"/>
  <c r="Q913" i="3"/>
  <c r="R913" i="3" s="1"/>
  <c r="Q914" i="3"/>
  <c r="R914" i="3" s="1"/>
  <c r="Q915" i="3"/>
  <c r="R915" i="3" s="1"/>
  <c r="Q916" i="3"/>
  <c r="R916" i="3" s="1"/>
  <c r="Q917" i="3"/>
  <c r="R917" i="3" s="1"/>
  <c r="Q918" i="3"/>
  <c r="R918" i="3" s="1"/>
  <c r="Q919" i="3"/>
  <c r="R919" i="3" s="1"/>
  <c r="Q920" i="3"/>
  <c r="R920" i="3" s="1"/>
  <c r="Q921" i="3"/>
  <c r="R921" i="3" s="1"/>
  <c r="Q922" i="3"/>
  <c r="R922" i="3" s="1"/>
  <c r="Q923" i="3"/>
  <c r="R923" i="3" s="1"/>
  <c r="Q924" i="3"/>
  <c r="R924" i="3" s="1"/>
  <c r="Q925" i="3"/>
  <c r="R925" i="3" s="1"/>
  <c r="Q926" i="3"/>
  <c r="R926" i="3" s="1"/>
  <c r="Q927" i="3"/>
  <c r="R927" i="3" s="1"/>
  <c r="Q928" i="3"/>
  <c r="R928" i="3" s="1"/>
  <c r="Q929" i="3"/>
  <c r="R929" i="3" s="1"/>
  <c r="Q930" i="3"/>
  <c r="R930" i="3" s="1"/>
  <c r="Q931" i="3"/>
  <c r="R931" i="3" s="1"/>
  <c r="Q932" i="3"/>
  <c r="R932" i="3" s="1"/>
  <c r="Q933" i="3"/>
  <c r="R933" i="3" s="1"/>
  <c r="Q934" i="3"/>
  <c r="R934" i="3" s="1"/>
  <c r="Q935" i="3"/>
  <c r="R935" i="3" s="1"/>
  <c r="Q936" i="3"/>
  <c r="R936" i="3" s="1"/>
  <c r="Q937" i="3"/>
  <c r="R937" i="3" s="1"/>
  <c r="Q938" i="3"/>
  <c r="R938" i="3" s="1"/>
  <c r="Q939" i="3"/>
  <c r="R939" i="3" s="1"/>
  <c r="Q940" i="3"/>
  <c r="R940" i="3" s="1"/>
  <c r="Q941" i="3"/>
  <c r="R941" i="3" s="1"/>
  <c r="Q942" i="3"/>
  <c r="R942" i="3" s="1"/>
  <c r="Q943" i="3"/>
  <c r="R943" i="3" s="1"/>
  <c r="Q944" i="3"/>
  <c r="R944" i="3" s="1"/>
  <c r="Q945" i="3"/>
  <c r="R945" i="3" s="1"/>
  <c r="Q946" i="3"/>
  <c r="R946" i="3" s="1"/>
  <c r="Q947" i="3"/>
  <c r="R947" i="3" s="1"/>
  <c r="Q948" i="3"/>
  <c r="R948" i="3" s="1"/>
  <c r="Q949" i="3"/>
  <c r="R949" i="3" s="1"/>
  <c r="Q950" i="3"/>
  <c r="R950" i="3" s="1"/>
  <c r="Q951" i="3"/>
  <c r="R951" i="3" s="1"/>
  <c r="Q952" i="3"/>
  <c r="R952" i="3" s="1"/>
  <c r="Q953" i="3"/>
  <c r="R953" i="3" s="1"/>
  <c r="Q954" i="3"/>
  <c r="R954" i="3" s="1"/>
  <c r="Q955" i="3"/>
  <c r="R955" i="3" s="1"/>
  <c r="Q956" i="3"/>
  <c r="R956" i="3" s="1"/>
  <c r="Q957" i="3"/>
  <c r="R957" i="3" s="1"/>
  <c r="Q958" i="3"/>
  <c r="R958" i="3" s="1"/>
  <c r="Q959" i="3"/>
  <c r="R959" i="3" s="1"/>
  <c r="Q960" i="3"/>
  <c r="R960" i="3" s="1"/>
  <c r="Q961" i="3"/>
  <c r="R961" i="3" s="1"/>
  <c r="Q962" i="3"/>
  <c r="R962" i="3" s="1"/>
  <c r="Q963" i="3"/>
  <c r="R963" i="3" s="1"/>
  <c r="Q964" i="3"/>
  <c r="R964" i="3" s="1"/>
  <c r="Q965" i="3"/>
  <c r="R965" i="3" s="1"/>
  <c r="Q966" i="3"/>
  <c r="R966" i="3" s="1"/>
  <c r="Q967" i="3"/>
  <c r="R967" i="3" s="1"/>
  <c r="Q968" i="3"/>
  <c r="R968" i="3" s="1"/>
  <c r="Q969" i="3"/>
  <c r="R969" i="3" s="1"/>
  <c r="Q970" i="3"/>
  <c r="R970" i="3" s="1"/>
  <c r="Q971" i="3"/>
  <c r="R971" i="3" s="1"/>
  <c r="Q972" i="3"/>
  <c r="R972" i="3" s="1"/>
  <c r="Q973" i="3"/>
  <c r="R973" i="3" s="1"/>
  <c r="Q974" i="3"/>
  <c r="R974" i="3" s="1"/>
  <c r="Q975" i="3"/>
  <c r="R975" i="3" s="1"/>
  <c r="Q976" i="3"/>
  <c r="R976" i="3" s="1"/>
  <c r="Q977" i="3"/>
  <c r="R977" i="3" s="1"/>
  <c r="Q978" i="3"/>
  <c r="R978" i="3" s="1"/>
  <c r="Q979" i="3"/>
  <c r="R979" i="3" s="1"/>
  <c r="Q980" i="3"/>
  <c r="R980" i="3" s="1"/>
  <c r="Q981" i="3"/>
  <c r="R981" i="3" s="1"/>
  <c r="Q982" i="3"/>
  <c r="R982" i="3" s="1"/>
  <c r="Q983" i="3"/>
  <c r="R983" i="3" s="1"/>
  <c r="Q984" i="3"/>
  <c r="R984" i="3" s="1"/>
  <c r="Q985" i="3"/>
  <c r="R985" i="3" s="1"/>
  <c r="Q986" i="3"/>
  <c r="R986" i="3" s="1"/>
  <c r="Q987" i="3"/>
  <c r="R987" i="3" s="1"/>
  <c r="Q988" i="3"/>
  <c r="R988" i="3" s="1"/>
  <c r="Q989" i="3"/>
  <c r="R989" i="3" s="1"/>
  <c r="Q990" i="3"/>
  <c r="R990" i="3" s="1"/>
  <c r="Q991" i="3"/>
  <c r="R991" i="3" s="1"/>
  <c r="Q992" i="3"/>
  <c r="R992" i="3" s="1"/>
  <c r="Q993" i="3"/>
  <c r="R993" i="3" s="1"/>
  <c r="Q994" i="3"/>
  <c r="R994" i="3" s="1"/>
  <c r="Q995" i="3"/>
  <c r="R995" i="3" s="1"/>
  <c r="Q996" i="3"/>
  <c r="R996" i="3" s="1"/>
  <c r="Q997" i="3"/>
  <c r="R997" i="3" s="1"/>
  <c r="Q998" i="3"/>
  <c r="R998" i="3" s="1"/>
  <c r="Q999" i="3"/>
  <c r="R999" i="3" s="1"/>
  <c r="Q1000" i="3"/>
  <c r="R1000" i="3" s="1"/>
  <c r="Q1001" i="3"/>
  <c r="R1001" i="3" s="1"/>
  <c r="Q1002" i="3"/>
  <c r="R1002" i="3" s="1"/>
  <c r="Q1003" i="3"/>
  <c r="R1003" i="3" s="1"/>
  <c r="Q1004" i="3"/>
  <c r="R1004" i="3" s="1"/>
  <c r="Q1005" i="3"/>
  <c r="R1005" i="3" s="1"/>
  <c r="Q1006" i="3"/>
  <c r="R1006" i="3" s="1"/>
  <c r="Q1007" i="3"/>
  <c r="R1007" i="3" s="1"/>
  <c r="Q1008" i="3"/>
  <c r="R1008" i="3" s="1"/>
  <c r="Q1009" i="3"/>
  <c r="R1009" i="3" s="1"/>
  <c r="Q1010" i="3"/>
  <c r="R1010" i="3" s="1"/>
  <c r="Q1011" i="3"/>
  <c r="R1011" i="3" s="1"/>
  <c r="Q1012" i="3"/>
  <c r="R1012" i="3" s="1"/>
  <c r="Q1013" i="3"/>
  <c r="R1013" i="3" s="1"/>
  <c r="Q1014" i="3"/>
  <c r="R1014" i="3" s="1"/>
  <c r="Q1015" i="3"/>
  <c r="R1015" i="3" s="1"/>
  <c r="Q1016" i="3"/>
  <c r="R1016" i="3" s="1"/>
  <c r="Q1017" i="3"/>
  <c r="R1017" i="3" s="1"/>
  <c r="Q1018" i="3"/>
  <c r="R1018" i="3" s="1"/>
  <c r="Q1019" i="3"/>
  <c r="R1019" i="3" s="1"/>
  <c r="Q1020" i="3"/>
  <c r="R1020" i="3" s="1"/>
  <c r="Q1021" i="3"/>
  <c r="R1021" i="3" s="1"/>
  <c r="Q1022" i="3"/>
  <c r="R1022" i="3" s="1"/>
  <c r="Q1023" i="3"/>
  <c r="R1023" i="3" s="1"/>
  <c r="Q269" i="3"/>
  <c r="R269" i="3" s="1"/>
  <c r="Q270" i="3"/>
  <c r="R270" i="3" s="1"/>
  <c r="Q271" i="3"/>
  <c r="R271" i="3" s="1"/>
  <c r="Q272" i="3"/>
  <c r="R272" i="3" s="1"/>
  <c r="Q273" i="3"/>
  <c r="R273" i="3" s="1"/>
  <c r="Q274" i="3"/>
  <c r="R274" i="3" s="1"/>
  <c r="Q275" i="3"/>
  <c r="R275" i="3" s="1"/>
  <c r="Q276" i="3"/>
  <c r="R276" i="3" s="1"/>
  <c r="Q277" i="3"/>
  <c r="R277" i="3" s="1"/>
  <c r="Q278" i="3"/>
  <c r="R278" i="3" s="1"/>
  <c r="Q279" i="3"/>
  <c r="R279" i="3" s="1"/>
  <c r="Q280" i="3"/>
  <c r="R280" i="3" s="1"/>
  <c r="Q281" i="3"/>
  <c r="R281" i="3" s="1"/>
  <c r="Q282" i="3"/>
  <c r="R282" i="3" s="1"/>
  <c r="Q283" i="3"/>
  <c r="R283" i="3" s="1"/>
  <c r="Q284" i="3"/>
  <c r="R284" i="3" s="1"/>
  <c r="Q285" i="3"/>
  <c r="R285" i="3" s="1"/>
  <c r="Q286" i="3"/>
  <c r="R286" i="3" s="1"/>
  <c r="Q287" i="3"/>
  <c r="R287" i="3" s="1"/>
  <c r="Q288" i="3"/>
  <c r="R288" i="3" s="1"/>
  <c r="Q289" i="3"/>
  <c r="R289" i="3" s="1"/>
  <c r="Q290" i="3"/>
  <c r="R290" i="3" s="1"/>
  <c r="Q291" i="3"/>
  <c r="R291" i="3" s="1"/>
  <c r="Q292" i="3"/>
  <c r="R292" i="3" s="1"/>
  <c r="Q293" i="3"/>
  <c r="R293" i="3" s="1"/>
  <c r="Q294" i="3"/>
  <c r="R294" i="3" s="1"/>
  <c r="Q295" i="3"/>
  <c r="R295" i="3" s="1"/>
  <c r="Q296" i="3"/>
  <c r="R296" i="3" s="1"/>
  <c r="Q297" i="3"/>
  <c r="R297" i="3" s="1"/>
  <c r="Q298" i="3"/>
  <c r="R298" i="3" s="1"/>
  <c r="Q299" i="3"/>
  <c r="R299" i="3" s="1"/>
  <c r="Q300" i="3"/>
  <c r="R300" i="3" s="1"/>
  <c r="Q301" i="3"/>
  <c r="R301" i="3" s="1"/>
  <c r="Q302" i="3"/>
  <c r="R302" i="3" s="1"/>
  <c r="Q303" i="3"/>
  <c r="R303" i="3" s="1"/>
  <c r="Q304" i="3"/>
  <c r="R304" i="3" s="1"/>
  <c r="Q305" i="3"/>
  <c r="R305" i="3" s="1"/>
  <c r="Q306" i="3"/>
  <c r="R306" i="3" s="1"/>
  <c r="Q307" i="3"/>
  <c r="R307" i="3" s="1"/>
  <c r="Q308" i="3"/>
  <c r="R308" i="3" s="1"/>
  <c r="Q309" i="3"/>
  <c r="R309" i="3" s="1"/>
  <c r="Q310" i="3"/>
  <c r="R310" i="3" s="1"/>
  <c r="Q311" i="3"/>
  <c r="R311" i="3" s="1"/>
  <c r="Q312" i="3"/>
  <c r="R312" i="3" s="1"/>
  <c r="Q313" i="3"/>
  <c r="R313" i="3" s="1"/>
  <c r="Q314" i="3"/>
  <c r="R314" i="3" s="1"/>
  <c r="Q315" i="3"/>
  <c r="R315" i="3" s="1"/>
  <c r="Q316" i="3"/>
  <c r="R316" i="3" s="1"/>
  <c r="Q317" i="3"/>
  <c r="R317" i="3" s="1"/>
  <c r="Q318" i="3"/>
  <c r="R318" i="3" s="1"/>
  <c r="Q319" i="3"/>
  <c r="R319" i="3" s="1"/>
  <c r="Q320" i="3"/>
  <c r="R320" i="3" s="1"/>
  <c r="Q321" i="3"/>
  <c r="R321" i="3" s="1"/>
  <c r="Q322" i="3"/>
  <c r="R322" i="3" s="1"/>
  <c r="Q323" i="3"/>
  <c r="R323" i="3" s="1"/>
  <c r="Q324" i="3"/>
  <c r="R324" i="3" s="1"/>
  <c r="Q325" i="3"/>
  <c r="R325" i="3" s="1"/>
  <c r="Q326" i="3"/>
  <c r="R326" i="3" s="1"/>
  <c r="Q327" i="3"/>
  <c r="R327" i="3" s="1"/>
  <c r="Q328" i="3"/>
  <c r="R328" i="3" s="1"/>
  <c r="Q329" i="3"/>
  <c r="R329" i="3" s="1"/>
  <c r="Q330" i="3"/>
  <c r="R330" i="3" s="1"/>
  <c r="Q331" i="3"/>
  <c r="R331" i="3" s="1"/>
  <c r="Q332" i="3"/>
  <c r="R332" i="3" s="1"/>
  <c r="Q333" i="3"/>
  <c r="R333" i="3" s="1"/>
  <c r="Q334" i="3"/>
  <c r="R334" i="3" s="1"/>
  <c r="Q335" i="3"/>
  <c r="R335" i="3" s="1"/>
  <c r="Q336" i="3"/>
  <c r="R336" i="3" s="1"/>
  <c r="Q337" i="3"/>
  <c r="R337" i="3" s="1"/>
  <c r="Q338" i="3"/>
  <c r="R338" i="3" s="1"/>
  <c r="Q339" i="3"/>
  <c r="R339" i="3" s="1"/>
  <c r="Q340" i="3"/>
  <c r="R340" i="3" s="1"/>
  <c r="Q341" i="3"/>
  <c r="R341" i="3" s="1"/>
  <c r="Q342" i="3"/>
  <c r="R342" i="3" s="1"/>
  <c r="Q343" i="3"/>
  <c r="R343" i="3" s="1"/>
  <c r="Q344" i="3"/>
  <c r="R344" i="3" s="1"/>
  <c r="Q345" i="3"/>
  <c r="R345" i="3" s="1"/>
  <c r="Q346" i="3"/>
  <c r="R346" i="3" s="1"/>
  <c r="Q347" i="3"/>
  <c r="R347" i="3" s="1"/>
  <c r="Q348" i="3"/>
  <c r="R348" i="3" s="1"/>
  <c r="Q349" i="3"/>
  <c r="R349" i="3" s="1"/>
  <c r="Q350" i="3"/>
  <c r="R350" i="3" s="1"/>
  <c r="Q351" i="3"/>
  <c r="R351" i="3" s="1"/>
  <c r="Q352" i="3"/>
  <c r="R352" i="3" s="1"/>
  <c r="Q353" i="3"/>
  <c r="R353" i="3" s="1"/>
  <c r="Q354" i="3"/>
  <c r="R354" i="3" s="1"/>
  <c r="Q355" i="3"/>
  <c r="R355" i="3" s="1"/>
  <c r="Q356" i="3"/>
  <c r="R356" i="3" s="1"/>
  <c r="Q357" i="3"/>
  <c r="R357" i="3" s="1"/>
  <c r="Q358" i="3"/>
  <c r="R358" i="3" s="1"/>
  <c r="Q359" i="3"/>
  <c r="R359" i="3" s="1"/>
  <c r="Q360" i="3"/>
  <c r="R360" i="3" s="1"/>
  <c r="Q361" i="3"/>
  <c r="R361" i="3" s="1"/>
  <c r="Q362" i="3"/>
  <c r="R362" i="3" s="1"/>
  <c r="Q363" i="3"/>
  <c r="R363" i="3" s="1"/>
  <c r="Q364" i="3"/>
  <c r="R364" i="3" s="1"/>
  <c r="Q365" i="3"/>
  <c r="R365" i="3" s="1"/>
  <c r="Q366" i="3"/>
  <c r="R366" i="3" s="1"/>
  <c r="Q367" i="3"/>
  <c r="R367" i="3" s="1"/>
  <c r="Q368" i="3"/>
  <c r="R368" i="3" s="1"/>
  <c r="Q369" i="3"/>
  <c r="R369" i="3" s="1"/>
  <c r="Q370" i="3"/>
  <c r="R370" i="3" s="1"/>
  <c r="Q371" i="3"/>
  <c r="R371" i="3" s="1"/>
  <c r="Q372" i="3"/>
  <c r="R372" i="3" s="1"/>
  <c r="Q373" i="3"/>
  <c r="R373" i="3" s="1"/>
  <c r="Q374" i="3"/>
  <c r="R374" i="3" s="1"/>
  <c r="Q375" i="3"/>
  <c r="R375" i="3" s="1"/>
  <c r="Q376" i="3"/>
  <c r="R376" i="3" s="1"/>
  <c r="Q377" i="3"/>
  <c r="R377" i="3" s="1"/>
  <c r="Q378" i="3"/>
  <c r="R378" i="3" s="1"/>
  <c r="Q379" i="3"/>
  <c r="R379" i="3" s="1"/>
  <c r="Q380" i="3"/>
  <c r="R380" i="3" s="1"/>
  <c r="Q381" i="3"/>
  <c r="R381" i="3" s="1"/>
  <c r="Q382" i="3"/>
  <c r="R382" i="3" s="1"/>
  <c r="Q383" i="3"/>
  <c r="R383" i="3" s="1"/>
  <c r="Q384" i="3"/>
  <c r="R384" i="3" s="1"/>
  <c r="Q385" i="3"/>
  <c r="R385" i="3" s="1"/>
  <c r="Q386" i="3"/>
  <c r="R386" i="3" s="1"/>
  <c r="Q387" i="3"/>
  <c r="R387" i="3" s="1"/>
  <c r="Q388" i="3"/>
  <c r="R388" i="3" s="1"/>
  <c r="Q389" i="3"/>
  <c r="R389" i="3" s="1"/>
  <c r="Q390" i="3"/>
  <c r="R390" i="3" s="1"/>
  <c r="Q391" i="3"/>
  <c r="R391" i="3" s="1"/>
  <c r="Q392" i="3"/>
  <c r="R392" i="3" s="1"/>
  <c r="Q393" i="3"/>
  <c r="R393" i="3" s="1"/>
  <c r="Q394" i="3"/>
  <c r="R394" i="3" s="1"/>
  <c r="Q395" i="3"/>
  <c r="R395" i="3" s="1"/>
  <c r="Q396" i="3"/>
  <c r="R396" i="3" s="1"/>
  <c r="Q397" i="3"/>
  <c r="R397" i="3" s="1"/>
  <c r="Q398" i="3"/>
  <c r="R398" i="3" s="1"/>
  <c r="Q399" i="3"/>
  <c r="R399" i="3" s="1"/>
  <c r="Q400" i="3"/>
  <c r="R400" i="3" s="1"/>
  <c r="Q401" i="3"/>
  <c r="R401" i="3" s="1"/>
  <c r="Q402" i="3"/>
  <c r="R402" i="3" s="1"/>
  <c r="Q403" i="3"/>
  <c r="R403" i="3" s="1"/>
  <c r="Q404" i="3"/>
  <c r="R404" i="3" s="1"/>
  <c r="Q405" i="3"/>
  <c r="R405" i="3" s="1"/>
  <c r="Q406" i="3"/>
  <c r="R406" i="3" s="1"/>
  <c r="Q407" i="3"/>
  <c r="R407" i="3" s="1"/>
  <c r="Q408" i="3"/>
  <c r="R408" i="3" s="1"/>
  <c r="Q409" i="3"/>
  <c r="R409" i="3" s="1"/>
  <c r="Q410" i="3"/>
  <c r="R410" i="3" s="1"/>
  <c r="Q411" i="3"/>
  <c r="R411" i="3" s="1"/>
  <c r="Q412" i="3"/>
  <c r="R412" i="3" s="1"/>
  <c r="Q413" i="3"/>
  <c r="R413" i="3" s="1"/>
  <c r="Q414" i="3"/>
  <c r="R414" i="3" s="1"/>
  <c r="Q415" i="3"/>
  <c r="R415" i="3" s="1"/>
  <c r="Q416" i="3"/>
  <c r="R416" i="3" s="1"/>
  <c r="Q417" i="3"/>
  <c r="R417" i="3" s="1"/>
  <c r="Q418" i="3"/>
  <c r="R418" i="3" s="1"/>
  <c r="Q419" i="3"/>
  <c r="R419" i="3" s="1"/>
  <c r="Q420" i="3"/>
  <c r="R420" i="3" s="1"/>
  <c r="Q421" i="3"/>
  <c r="R421" i="3" s="1"/>
  <c r="Q422" i="3"/>
  <c r="R422" i="3" s="1"/>
  <c r="Q423" i="3"/>
  <c r="R423" i="3" s="1"/>
  <c r="Q424" i="3"/>
  <c r="R424" i="3" s="1"/>
  <c r="Q425" i="3"/>
  <c r="R425" i="3" s="1"/>
  <c r="Q426" i="3"/>
  <c r="R426" i="3" s="1"/>
  <c r="Q427" i="3"/>
  <c r="R427" i="3" s="1"/>
  <c r="Q428" i="3"/>
  <c r="R428" i="3" s="1"/>
  <c r="Q429" i="3"/>
  <c r="R429" i="3" s="1"/>
  <c r="Q430" i="3"/>
  <c r="R430" i="3" s="1"/>
  <c r="Q431" i="3"/>
  <c r="R431" i="3" s="1"/>
  <c r="Q432" i="3"/>
  <c r="R432" i="3" s="1"/>
  <c r="Q433" i="3"/>
  <c r="R433" i="3" s="1"/>
  <c r="Q434" i="3"/>
  <c r="R434" i="3" s="1"/>
  <c r="Q435" i="3"/>
  <c r="R435" i="3" s="1"/>
  <c r="Q436" i="3"/>
  <c r="R436" i="3" s="1"/>
  <c r="Q437" i="3"/>
  <c r="R437" i="3" s="1"/>
  <c r="Q438" i="3"/>
  <c r="R438" i="3" s="1"/>
  <c r="Q439" i="3"/>
  <c r="R439" i="3" s="1"/>
  <c r="Q440" i="3"/>
  <c r="R440" i="3" s="1"/>
  <c r="Q441" i="3"/>
  <c r="R441" i="3" s="1"/>
  <c r="Q442" i="3"/>
  <c r="R442" i="3" s="1"/>
  <c r="Q443" i="3"/>
  <c r="R443" i="3" s="1"/>
  <c r="Q444" i="3"/>
  <c r="R444" i="3" s="1"/>
  <c r="Q445" i="3"/>
  <c r="R445" i="3" s="1"/>
  <c r="Q446" i="3"/>
  <c r="R446" i="3" s="1"/>
  <c r="Q447" i="3"/>
  <c r="R447" i="3" s="1"/>
  <c r="Q448" i="3"/>
  <c r="R448" i="3" s="1"/>
  <c r="Q449" i="3"/>
  <c r="R449" i="3" s="1"/>
  <c r="Q450" i="3"/>
  <c r="R450" i="3" s="1"/>
  <c r="Q451" i="3"/>
  <c r="R451" i="3" s="1"/>
  <c r="Q452" i="3"/>
  <c r="R452" i="3" s="1"/>
  <c r="Q453" i="3"/>
  <c r="R453" i="3" s="1"/>
  <c r="Q454" i="3"/>
  <c r="R454" i="3" s="1"/>
  <c r="Q455" i="3"/>
  <c r="R455" i="3" s="1"/>
  <c r="Q456" i="3"/>
  <c r="R456" i="3" s="1"/>
  <c r="Q457" i="3"/>
  <c r="R457" i="3" s="1"/>
  <c r="Q458" i="3"/>
  <c r="R458" i="3" s="1"/>
  <c r="Q459" i="3"/>
  <c r="R459" i="3" s="1"/>
  <c r="Q460" i="3"/>
  <c r="R460" i="3" s="1"/>
  <c r="Q461" i="3"/>
  <c r="R461" i="3" s="1"/>
  <c r="Q462" i="3"/>
  <c r="R462" i="3" s="1"/>
  <c r="Q463" i="3"/>
  <c r="R463" i="3" s="1"/>
  <c r="Q464" i="3"/>
  <c r="R464" i="3" s="1"/>
  <c r="Q465" i="3"/>
  <c r="R465" i="3" s="1"/>
  <c r="Q466" i="3"/>
  <c r="R466" i="3" s="1"/>
  <c r="Q467" i="3"/>
  <c r="R467" i="3" s="1"/>
  <c r="Q468" i="3"/>
  <c r="R468" i="3" s="1"/>
  <c r="Q469" i="3"/>
  <c r="R469" i="3" s="1"/>
  <c r="Q470" i="3"/>
  <c r="R470" i="3" s="1"/>
  <c r="Q471" i="3"/>
  <c r="R471" i="3" s="1"/>
  <c r="Q472" i="3"/>
  <c r="R472" i="3" s="1"/>
  <c r="Q473" i="3"/>
  <c r="R473" i="3" s="1"/>
  <c r="Q474" i="3"/>
  <c r="R474" i="3" s="1"/>
  <c r="Q475" i="3"/>
  <c r="R475" i="3" s="1"/>
  <c r="Q476" i="3"/>
  <c r="R476" i="3" s="1"/>
  <c r="Q477" i="3"/>
  <c r="R477" i="3" s="1"/>
  <c r="Q478" i="3"/>
  <c r="R478" i="3" s="1"/>
  <c r="Q479" i="3"/>
  <c r="R479" i="3" s="1"/>
  <c r="Q480" i="3"/>
  <c r="R480" i="3" s="1"/>
  <c r="Q481" i="3"/>
  <c r="R481" i="3" s="1"/>
  <c r="Q482" i="3"/>
  <c r="R482" i="3" s="1"/>
  <c r="Q483" i="3"/>
  <c r="R483" i="3" s="1"/>
  <c r="Q484" i="3"/>
  <c r="R484" i="3" s="1"/>
  <c r="Q485" i="3"/>
  <c r="R485" i="3" s="1"/>
  <c r="Q486" i="3"/>
  <c r="R486" i="3" s="1"/>
  <c r="Q487" i="3"/>
  <c r="R487" i="3" s="1"/>
  <c r="Q488" i="3"/>
  <c r="R488" i="3" s="1"/>
  <c r="Q489" i="3"/>
  <c r="R489" i="3" s="1"/>
  <c r="Q490" i="3"/>
  <c r="R490" i="3" s="1"/>
  <c r="Q491" i="3"/>
  <c r="R491" i="3" s="1"/>
  <c r="Q492" i="3"/>
  <c r="R492" i="3" s="1"/>
  <c r="Q493" i="3"/>
  <c r="R493" i="3" s="1"/>
  <c r="Q494" i="3"/>
  <c r="R494" i="3" s="1"/>
  <c r="Q495" i="3"/>
  <c r="R495" i="3" s="1"/>
  <c r="Q496" i="3"/>
  <c r="R496" i="3" s="1"/>
  <c r="Q497" i="3"/>
  <c r="R497" i="3" s="1"/>
  <c r="Q498" i="3"/>
  <c r="R498" i="3" s="1"/>
  <c r="Q499" i="3"/>
  <c r="R499" i="3" s="1"/>
  <c r="Q500" i="3"/>
  <c r="R500" i="3" s="1"/>
  <c r="Q501" i="3"/>
  <c r="R501" i="3" s="1"/>
  <c r="Q502" i="3"/>
  <c r="R502" i="3" s="1"/>
  <c r="Q503" i="3"/>
  <c r="R503" i="3" s="1"/>
  <c r="Q504" i="3"/>
  <c r="R504" i="3" s="1"/>
  <c r="Q505" i="3"/>
  <c r="R505" i="3" s="1"/>
  <c r="Q506" i="3"/>
  <c r="R506" i="3" s="1"/>
  <c r="Q507" i="3"/>
  <c r="R507" i="3" s="1"/>
  <c r="Q508" i="3"/>
  <c r="R508" i="3" s="1"/>
  <c r="Q509" i="3"/>
  <c r="R509" i="3" s="1"/>
  <c r="Q510" i="3"/>
  <c r="R510" i="3" s="1"/>
  <c r="Q511" i="3"/>
  <c r="R511" i="3" s="1"/>
  <c r="Q512" i="3"/>
  <c r="R512" i="3" s="1"/>
  <c r="Q513" i="3"/>
  <c r="R513" i="3" s="1"/>
  <c r="Q514" i="3"/>
  <c r="R514" i="3" s="1"/>
  <c r="Q515" i="3"/>
  <c r="R515" i="3" s="1"/>
  <c r="Q516" i="3"/>
  <c r="R516" i="3" s="1"/>
  <c r="Q517" i="3"/>
  <c r="R517" i="3" s="1"/>
  <c r="Q518" i="3"/>
  <c r="R518" i="3" s="1"/>
  <c r="Q519" i="3"/>
  <c r="R519" i="3" s="1"/>
  <c r="Q520" i="3"/>
  <c r="R520" i="3" s="1"/>
  <c r="Q521" i="3"/>
  <c r="R521" i="3" s="1"/>
  <c r="Q522" i="3"/>
  <c r="R522" i="3" s="1"/>
  <c r="Q523" i="3"/>
  <c r="R523" i="3" s="1"/>
  <c r="Q524" i="3"/>
  <c r="R524" i="3" s="1"/>
  <c r="Q525" i="3"/>
  <c r="R525" i="3" s="1"/>
  <c r="Q526" i="3"/>
  <c r="R526" i="3" s="1"/>
  <c r="Q527" i="3"/>
  <c r="R527" i="3" s="1"/>
  <c r="Q528" i="3"/>
  <c r="R528" i="3" s="1"/>
  <c r="Q529" i="3"/>
  <c r="R529" i="3" s="1"/>
  <c r="Q530" i="3"/>
  <c r="R530" i="3" s="1"/>
  <c r="Q531" i="3"/>
  <c r="R531" i="3" s="1"/>
  <c r="Q532" i="3"/>
  <c r="R532" i="3" s="1"/>
  <c r="Q533" i="3"/>
  <c r="R533" i="3" s="1"/>
  <c r="Q534" i="3"/>
  <c r="R534" i="3" s="1"/>
  <c r="Q535" i="3"/>
  <c r="R535" i="3" s="1"/>
  <c r="Q536" i="3"/>
  <c r="R536" i="3" s="1"/>
  <c r="Q537" i="3"/>
  <c r="R537" i="3" s="1"/>
  <c r="Q538" i="3"/>
  <c r="R538" i="3" s="1"/>
  <c r="Q539" i="3"/>
  <c r="R539" i="3" s="1"/>
  <c r="Q540" i="3"/>
  <c r="R540" i="3" s="1"/>
  <c r="Q541" i="3"/>
  <c r="R541" i="3" s="1"/>
  <c r="Q542" i="3"/>
  <c r="R542" i="3" s="1"/>
  <c r="Q543" i="3"/>
  <c r="R543" i="3" s="1"/>
  <c r="Q544" i="3"/>
  <c r="R544" i="3" s="1"/>
  <c r="Q545" i="3"/>
  <c r="R545" i="3" s="1"/>
  <c r="Q546" i="3"/>
  <c r="R546" i="3" s="1"/>
  <c r="Q547" i="3"/>
  <c r="R547" i="3" s="1"/>
  <c r="Q548" i="3"/>
  <c r="R548" i="3" s="1"/>
  <c r="Q549" i="3"/>
  <c r="R549" i="3" s="1"/>
  <c r="Q550" i="3"/>
  <c r="R550" i="3" s="1"/>
  <c r="Q551" i="3"/>
  <c r="R551" i="3" s="1"/>
  <c r="Q552" i="3"/>
  <c r="R552" i="3" s="1"/>
  <c r="Q226" i="3"/>
  <c r="R226" i="3" s="1"/>
  <c r="Q227" i="3"/>
  <c r="R227" i="3" s="1"/>
  <c r="Q228" i="3"/>
  <c r="R228" i="3" s="1"/>
  <c r="Q229" i="3"/>
  <c r="R229" i="3" s="1"/>
  <c r="Q230" i="3"/>
  <c r="R230" i="3" s="1"/>
  <c r="Q231" i="3"/>
  <c r="R231" i="3" s="1"/>
  <c r="Q232" i="3"/>
  <c r="R232" i="3" s="1"/>
  <c r="Q233" i="3"/>
  <c r="R233" i="3" s="1"/>
  <c r="Q234" i="3"/>
  <c r="R234" i="3" s="1"/>
  <c r="Q235" i="3"/>
  <c r="R235" i="3" s="1"/>
  <c r="Q236" i="3"/>
  <c r="R236" i="3" s="1"/>
  <c r="Q237" i="3"/>
  <c r="R237" i="3" s="1"/>
  <c r="Q238" i="3"/>
  <c r="R238" i="3" s="1"/>
  <c r="Q239" i="3"/>
  <c r="R239" i="3" s="1"/>
  <c r="Q240" i="3"/>
  <c r="R240" i="3" s="1"/>
  <c r="Q241" i="3"/>
  <c r="R241" i="3" s="1"/>
  <c r="Q242" i="3"/>
  <c r="R242" i="3" s="1"/>
  <c r="Q243" i="3"/>
  <c r="R243" i="3" s="1"/>
  <c r="Q244" i="3"/>
  <c r="R244" i="3" s="1"/>
  <c r="Q245" i="3"/>
  <c r="R245" i="3" s="1"/>
  <c r="Q246" i="3"/>
  <c r="R246" i="3" s="1"/>
  <c r="Q247" i="3"/>
  <c r="R247" i="3" s="1"/>
  <c r="Q248" i="3"/>
  <c r="R248" i="3" s="1"/>
  <c r="Q249" i="3"/>
  <c r="R249" i="3" s="1"/>
  <c r="Q250" i="3"/>
  <c r="R250" i="3" s="1"/>
  <c r="Q251" i="3"/>
  <c r="R251" i="3" s="1"/>
  <c r="Q252" i="3"/>
  <c r="R252" i="3" s="1"/>
  <c r="Q253" i="3"/>
  <c r="R253" i="3" s="1"/>
  <c r="Q254" i="3"/>
  <c r="R254" i="3" s="1"/>
  <c r="Q255" i="3"/>
  <c r="R255" i="3" s="1"/>
  <c r="Q256" i="3"/>
  <c r="R256" i="3" s="1"/>
  <c r="Q257" i="3"/>
  <c r="R257" i="3" s="1"/>
  <c r="Q258" i="3"/>
  <c r="R258" i="3" s="1"/>
  <c r="Q259" i="3"/>
  <c r="R259" i="3" s="1"/>
  <c r="Q260" i="3"/>
  <c r="R260" i="3" s="1"/>
  <c r="Q261" i="3"/>
  <c r="R261" i="3" s="1"/>
  <c r="Q262" i="3"/>
  <c r="R262" i="3" s="1"/>
  <c r="Q263" i="3"/>
  <c r="R263" i="3" s="1"/>
  <c r="Q264" i="3"/>
  <c r="R264" i="3" s="1"/>
  <c r="Q265" i="3"/>
  <c r="R265" i="3" s="1"/>
  <c r="Q266" i="3"/>
  <c r="R266" i="3" s="1"/>
  <c r="Q267" i="3"/>
  <c r="R267" i="3" s="1"/>
  <c r="Q268" i="3"/>
  <c r="R268" i="3" s="1"/>
  <c r="W3" i="3"/>
  <c r="Y3" i="3" s="1"/>
  <c r="Z3" i="3" s="1"/>
  <c r="W9" i="3"/>
  <c r="Y9" i="3" s="1"/>
  <c r="W15" i="3"/>
  <c r="Y15" i="3" s="1"/>
  <c r="W17" i="3"/>
  <c r="Y17" i="3" s="1"/>
  <c r="Z17" i="3" s="1"/>
  <c r="AA17" i="3" s="1"/>
  <c r="W19" i="3"/>
  <c r="Y19" i="3" s="1"/>
  <c r="Z19" i="3" s="1"/>
  <c r="W25" i="3"/>
  <c r="Y25" i="3" s="1"/>
  <c r="W31" i="3"/>
  <c r="Y31" i="3" s="1"/>
  <c r="W35" i="3"/>
  <c r="Y35" i="3" s="1"/>
  <c r="Z35" i="3" s="1"/>
  <c r="W41" i="3"/>
  <c r="Y41" i="3" s="1"/>
  <c r="W43" i="3"/>
  <c r="Y43" i="3" s="1"/>
  <c r="W47" i="3"/>
  <c r="Y47" i="3" s="1"/>
  <c r="W51" i="3"/>
  <c r="Y51" i="3" s="1"/>
  <c r="Z51" i="3" s="1"/>
  <c r="W57" i="3"/>
  <c r="Y57" i="3" s="1"/>
  <c r="W59" i="3"/>
  <c r="Y59" i="3" s="1"/>
  <c r="W63" i="3"/>
  <c r="Y63" i="3" s="1"/>
  <c r="W65" i="3"/>
  <c r="Y65" i="3" s="1"/>
  <c r="W67" i="3"/>
  <c r="Y67" i="3" s="1"/>
  <c r="Z67" i="3" s="1"/>
  <c r="W73" i="3"/>
  <c r="Y73" i="3" s="1"/>
  <c r="W79" i="3"/>
  <c r="Y79" i="3" s="1"/>
  <c r="W81" i="3"/>
  <c r="Y81" i="3" s="1"/>
  <c r="Z81" i="3" s="1"/>
  <c r="AA81" i="3" s="1"/>
  <c r="W83" i="3"/>
  <c r="Y83" i="3" s="1"/>
  <c r="W89" i="3"/>
  <c r="Y89" i="3" s="1"/>
  <c r="W95" i="3"/>
  <c r="Y95" i="3" s="1"/>
  <c r="W99" i="3"/>
  <c r="Y99" i="3" s="1"/>
  <c r="Z99" i="3" s="1"/>
  <c r="W105" i="3"/>
  <c r="Y105" i="3" s="1"/>
  <c r="Z105" i="3" s="1"/>
  <c r="W107" i="3"/>
  <c r="Y107" i="3" s="1"/>
  <c r="Z107" i="3" s="1"/>
  <c r="W111" i="3"/>
  <c r="Y111" i="3" s="1"/>
  <c r="W115" i="3"/>
  <c r="Y115" i="3" s="1"/>
  <c r="Z115" i="3" s="1"/>
  <c r="AB115" i="3" s="1"/>
  <c r="W121" i="3"/>
  <c r="Y121" i="3" s="1"/>
  <c r="Z121" i="3" s="1"/>
  <c r="W123" i="3"/>
  <c r="Y123" i="3" s="1"/>
  <c r="Z123" i="3" s="1"/>
  <c r="AB123" i="3" s="1"/>
  <c r="W127" i="3"/>
  <c r="Y127" i="3" s="1"/>
  <c r="Z127" i="3" s="1"/>
  <c r="AB127" i="3" s="1"/>
  <c r="W129" i="3"/>
  <c r="Y129" i="3" s="1"/>
  <c r="Z129" i="3" s="1"/>
  <c r="W131" i="3"/>
  <c r="Y131" i="3" s="1"/>
  <c r="Z131" i="3" s="1"/>
  <c r="AB131" i="3" s="1"/>
  <c r="W137" i="3"/>
  <c r="Y137" i="3" s="1"/>
  <c r="Z137" i="3" s="1"/>
  <c r="W143" i="3"/>
  <c r="Y143" i="3" s="1"/>
  <c r="W145" i="3"/>
  <c r="Y145" i="3" s="1"/>
  <c r="Z145" i="3" s="1"/>
  <c r="W147" i="3"/>
  <c r="Y147" i="3" s="1"/>
  <c r="Z147" i="3" s="1"/>
  <c r="AB147" i="3" s="1"/>
  <c r="W153" i="3"/>
  <c r="Y153" i="3" s="1"/>
  <c r="Z153" i="3" s="1"/>
  <c r="W159" i="3"/>
  <c r="Y159" i="3" s="1"/>
  <c r="W163" i="3"/>
  <c r="Y163" i="3" s="1"/>
  <c r="Z163" i="3" s="1"/>
  <c r="W169" i="3"/>
  <c r="Y169" i="3" s="1"/>
  <c r="Z169" i="3" s="1"/>
  <c r="W171" i="3"/>
  <c r="Y171" i="3" s="1"/>
  <c r="Z171" i="3" s="1"/>
  <c r="AB171" i="3" s="1"/>
  <c r="W175" i="3"/>
  <c r="Y175" i="3" s="1"/>
  <c r="W179" i="3"/>
  <c r="Y179" i="3" s="1"/>
  <c r="Z179" i="3" s="1"/>
  <c r="W185" i="3"/>
  <c r="Y185" i="3" s="1"/>
  <c r="Z185" i="3" s="1"/>
  <c r="W187" i="3"/>
  <c r="Y187" i="3" s="1"/>
  <c r="Z187" i="3" s="1"/>
  <c r="AB187" i="3" s="1"/>
  <c r="W191" i="3"/>
  <c r="Y191" i="3" s="1"/>
  <c r="W193" i="3"/>
  <c r="Y193" i="3" s="1"/>
  <c r="Z193" i="3" s="1"/>
  <c r="W195" i="3"/>
  <c r="Y195" i="3" s="1"/>
  <c r="Z195" i="3" s="1"/>
  <c r="W201" i="3"/>
  <c r="Y201" i="3" s="1"/>
  <c r="Z201" i="3" s="1"/>
  <c r="W207" i="3"/>
  <c r="Y207" i="3" s="1"/>
  <c r="W209" i="3"/>
  <c r="Y209" i="3" s="1"/>
  <c r="Z209" i="3" s="1"/>
  <c r="W211" i="3"/>
  <c r="Y211" i="3" s="1"/>
  <c r="Z211" i="3" s="1"/>
  <c r="W217" i="3"/>
  <c r="Y217" i="3" s="1"/>
  <c r="Z217" i="3" s="1"/>
  <c r="W223" i="3"/>
  <c r="Y223" i="3" s="1"/>
  <c r="X2" i="3"/>
  <c r="W2" i="3"/>
  <c r="Y2" i="3" s="1"/>
  <c r="Z2" i="3" s="1"/>
  <c r="X6" i="3"/>
  <c r="W6" i="3" s="1"/>
  <c r="Y6" i="3" s="1"/>
  <c r="Z6" i="3" s="1"/>
  <c r="X7" i="3"/>
  <c r="W7" i="3" s="1"/>
  <c r="Y7" i="3" s="1"/>
  <c r="Z7" i="3" s="1"/>
  <c r="X8" i="3"/>
  <c r="W8" i="3" s="1"/>
  <c r="Y8" i="3" s="1"/>
  <c r="X9" i="3"/>
  <c r="X10" i="3"/>
  <c r="W10" i="3" s="1"/>
  <c r="Y10" i="3" s="1"/>
  <c r="X11" i="3"/>
  <c r="W11" i="3" s="1"/>
  <c r="Y11" i="3" s="1"/>
  <c r="X12" i="3"/>
  <c r="W12" i="3" s="1"/>
  <c r="Y12" i="3" s="1"/>
  <c r="X13" i="3"/>
  <c r="W13" i="3" s="1"/>
  <c r="Y13" i="3" s="1"/>
  <c r="X14" i="3"/>
  <c r="W14" i="3" s="1"/>
  <c r="Y14" i="3" s="1"/>
  <c r="X15" i="3"/>
  <c r="X16" i="3"/>
  <c r="W16" i="3" s="1"/>
  <c r="Y16" i="3" s="1"/>
  <c r="Z16" i="3" s="1"/>
  <c r="X17" i="3"/>
  <c r="X18" i="3"/>
  <c r="W18" i="3" s="1"/>
  <c r="Y18" i="3" s="1"/>
  <c r="X19" i="3"/>
  <c r="X20" i="3"/>
  <c r="W20" i="3" s="1"/>
  <c r="Y20" i="3" s="1"/>
  <c r="Z20" i="3" s="1"/>
  <c r="X21" i="3"/>
  <c r="W21" i="3" s="1"/>
  <c r="Y21" i="3" s="1"/>
  <c r="X22" i="3"/>
  <c r="W22" i="3" s="1"/>
  <c r="Y22" i="3" s="1"/>
  <c r="X23" i="3"/>
  <c r="W23" i="3" s="1"/>
  <c r="Y23" i="3" s="1"/>
  <c r="X24" i="3"/>
  <c r="W24" i="3" s="1"/>
  <c r="Y24" i="3" s="1"/>
  <c r="X25" i="3"/>
  <c r="X26" i="3"/>
  <c r="W26" i="3" s="1"/>
  <c r="Y26" i="3" s="1"/>
  <c r="X27" i="3"/>
  <c r="W27" i="3" s="1"/>
  <c r="Y27" i="3" s="1"/>
  <c r="X28" i="3"/>
  <c r="W28" i="3" s="1"/>
  <c r="Y28" i="3" s="1"/>
  <c r="Z28" i="3" s="1"/>
  <c r="X29" i="3"/>
  <c r="W29" i="3" s="1"/>
  <c r="Y29" i="3" s="1"/>
  <c r="X30" i="3"/>
  <c r="W30" i="3" s="1"/>
  <c r="Y30" i="3" s="1"/>
  <c r="X31" i="3"/>
  <c r="X32" i="3"/>
  <c r="W32" i="3" s="1"/>
  <c r="Y32" i="3" s="1"/>
  <c r="X33" i="3"/>
  <c r="W33" i="3" s="1"/>
  <c r="Y33" i="3" s="1"/>
  <c r="X34" i="3"/>
  <c r="W34" i="3" s="1"/>
  <c r="Y34" i="3" s="1"/>
  <c r="X35" i="3"/>
  <c r="X36" i="3"/>
  <c r="W36" i="3" s="1"/>
  <c r="Y36" i="3" s="1"/>
  <c r="Z36" i="3" s="1"/>
  <c r="X37" i="3"/>
  <c r="W37" i="3" s="1"/>
  <c r="Y37" i="3" s="1"/>
  <c r="X38" i="3"/>
  <c r="W38" i="3" s="1"/>
  <c r="Y38" i="3" s="1"/>
  <c r="X39" i="3"/>
  <c r="W39" i="3" s="1"/>
  <c r="Y39" i="3" s="1"/>
  <c r="Z39" i="3" s="1"/>
  <c r="X40" i="3"/>
  <c r="W40" i="3" s="1"/>
  <c r="Y40" i="3" s="1"/>
  <c r="X41" i="3"/>
  <c r="X42" i="3"/>
  <c r="W42" i="3" s="1"/>
  <c r="Y42" i="3" s="1"/>
  <c r="X43" i="3"/>
  <c r="X44" i="3"/>
  <c r="W44" i="3" s="1"/>
  <c r="Y44" i="3" s="1"/>
  <c r="X45" i="3"/>
  <c r="W45" i="3" s="1"/>
  <c r="Y45" i="3" s="1"/>
  <c r="X46" i="3"/>
  <c r="W46" i="3" s="1"/>
  <c r="Y46" i="3" s="1"/>
  <c r="X47" i="3"/>
  <c r="X48" i="3"/>
  <c r="W48" i="3" s="1"/>
  <c r="Y48" i="3" s="1"/>
  <c r="Z48" i="3" s="1"/>
  <c r="X49" i="3"/>
  <c r="W49" i="3" s="1"/>
  <c r="Y49" i="3" s="1"/>
  <c r="Z49" i="3" s="1"/>
  <c r="AA49" i="3" s="1"/>
  <c r="X50" i="3"/>
  <c r="W50" i="3" s="1"/>
  <c r="Y50" i="3" s="1"/>
  <c r="X51" i="3"/>
  <c r="X52" i="3"/>
  <c r="W52" i="3" s="1"/>
  <c r="Y52" i="3" s="1"/>
  <c r="Z52" i="3" s="1"/>
  <c r="X53" i="3"/>
  <c r="W53" i="3" s="1"/>
  <c r="Y53" i="3" s="1"/>
  <c r="X54" i="3"/>
  <c r="W54" i="3" s="1"/>
  <c r="Y54" i="3" s="1"/>
  <c r="X55" i="3"/>
  <c r="W55" i="3" s="1"/>
  <c r="Y55" i="3" s="1"/>
  <c r="X56" i="3"/>
  <c r="W56" i="3" s="1"/>
  <c r="Y56" i="3" s="1"/>
  <c r="X57" i="3"/>
  <c r="X58" i="3"/>
  <c r="W58" i="3" s="1"/>
  <c r="Y58" i="3" s="1"/>
  <c r="X59" i="3"/>
  <c r="X60" i="3"/>
  <c r="W60" i="3" s="1"/>
  <c r="Y60" i="3" s="1"/>
  <c r="X61" i="3"/>
  <c r="W61" i="3" s="1"/>
  <c r="Y61" i="3" s="1"/>
  <c r="X62" i="3"/>
  <c r="W62" i="3" s="1"/>
  <c r="Y62" i="3" s="1"/>
  <c r="X63" i="3"/>
  <c r="X64" i="3"/>
  <c r="W64" i="3" s="1"/>
  <c r="Y64" i="3" s="1"/>
  <c r="X65" i="3"/>
  <c r="X66" i="3"/>
  <c r="W66" i="3" s="1"/>
  <c r="Y66" i="3" s="1"/>
  <c r="X67" i="3"/>
  <c r="X68" i="3"/>
  <c r="W68" i="3" s="1"/>
  <c r="Y68" i="3" s="1"/>
  <c r="Z68" i="3" s="1"/>
  <c r="X69" i="3"/>
  <c r="W69" i="3" s="1"/>
  <c r="Y69" i="3" s="1"/>
  <c r="X70" i="3"/>
  <c r="W70" i="3" s="1"/>
  <c r="Y70" i="3" s="1"/>
  <c r="X71" i="3"/>
  <c r="W71" i="3" s="1"/>
  <c r="Y71" i="3" s="1"/>
  <c r="X72" i="3"/>
  <c r="W72" i="3" s="1"/>
  <c r="Y72" i="3" s="1"/>
  <c r="X73" i="3"/>
  <c r="X74" i="3"/>
  <c r="W74" i="3" s="1"/>
  <c r="Y74" i="3" s="1"/>
  <c r="X75" i="3"/>
  <c r="W75" i="3" s="1"/>
  <c r="Y75" i="3" s="1"/>
  <c r="X76" i="3"/>
  <c r="W76" i="3" s="1"/>
  <c r="Y76" i="3" s="1"/>
  <c r="X77" i="3"/>
  <c r="W77" i="3" s="1"/>
  <c r="Y77" i="3" s="1"/>
  <c r="X78" i="3"/>
  <c r="W78" i="3" s="1"/>
  <c r="Y78" i="3" s="1"/>
  <c r="X79" i="3"/>
  <c r="X80" i="3"/>
  <c r="W80" i="3" s="1"/>
  <c r="Y80" i="3" s="1"/>
  <c r="Z80" i="3" s="1"/>
  <c r="X81" i="3"/>
  <c r="X82" i="3"/>
  <c r="W82" i="3" s="1"/>
  <c r="Y82" i="3" s="1"/>
  <c r="X83" i="3"/>
  <c r="X84" i="3"/>
  <c r="W84" i="3" s="1"/>
  <c r="Y84" i="3" s="1"/>
  <c r="Z84" i="3" s="1"/>
  <c r="X85" i="3"/>
  <c r="W85" i="3" s="1"/>
  <c r="Y85" i="3" s="1"/>
  <c r="X86" i="3"/>
  <c r="W86" i="3" s="1"/>
  <c r="Y86" i="3" s="1"/>
  <c r="X87" i="3"/>
  <c r="W87" i="3" s="1"/>
  <c r="Y87" i="3" s="1"/>
  <c r="X88" i="3"/>
  <c r="W88" i="3" s="1"/>
  <c r="Y88" i="3" s="1"/>
  <c r="Z88" i="3" s="1"/>
  <c r="X89" i="3"/>
  <c r="X90" i="3"/>
  <c r="W90" i="3" s="1"/>
  <c r="Y90" i="3" s="1"/>
  <c r="X91" i="3"/>
  <c r="W91" i="3" s="1"/>
  <c r="Y91" i="3" s="1"/>
  <c r="X92" i="3"/>
  <c r="W92" i="3" s="1"/>
  <c r="Y92" i="3" s="1"/>
  <c r="Z92" i="3" s="1"/>
  <c r="X93" i="3"/>
  <c r="W93" i="3" s="1"/>
  <c r="Y93" i="3" s="1"/>
  <c r="X94" i="3"/>
  <c r="W94" i="3" s="1"/>
  <c r="Y94" i="3" s="1"/>
  <c r="X95" i="3"/>
  <c r="X96" i="3"/>
  <c r="W96" i="3" s="1"/>
  <c r="Y96" i="3" s="1"/>
  <c r="Z96" i="3" s="1"/>
  <c r="X97" i="3"/>
  <c r="W97" i="3" s="1"/>
  <c r="Y97" i="3" s="1"/>
  <c r="X98" i="3"/>
  <c r="W98" i="3" s="1"/>
  <c r="Y98" i="3" s="1"/>
  <c r="X99" i="3"/>
  <c r="X100" i="3"/>
  <c r="W100" i="3" s="1"/>
  <c r="Y100" i="3" s="1"/>
  <c r="Z100" i="3" s="1"/>
  <c r="AA100" i="3" s="1"/>
  <c r="X101" i="3"/>
  <c r="W101" i="3" s="1"/>
  <c r="Y101" i="3" s="1"/>
  <c r="X102" i="3"/>
  <c r="W102" i="3" s="1"/>
  <c r="Y102" i="3" s="1"/>
  <c r="X103" i="3"/>
  <c r="W103" i="3" s="1"/>
  <c r="Y103" i="3" s="1"/>
  <c r="X104" i="3"/>
  <c r="W104" i="3" s="1"/>
  <c r="Y104" i="3" s="1"/>
  <c r="X105" i="3"/>
  <c r="X106" i="3"/>
  <c r="W106" i="3" s="1"/>
  <c r="Y106" i="3" s="1"/>
  <c r="X107" i="3"/>
  <c r="X108" i="3"/>
  <c r="W108" i="3" s="1"/>
  <c r="Y108" i="3" s="1"/>
  <c r="X109" i="3"/>
  <c r="W109" i="3" s="1"/>
  <c r="Y109" i="3" s="1"/>
  <c r="X110" i="3"/>
  <c r="W110" i="3" s="1"/>
  <c r="Y110" i="3" s="1"/>
  <c r="X111" i="3"/>
  <c r="X112" i="3"/>
  <c r="W112" i="3" s="1"/>
  <c r="Y112" i="3" s="1"/>
  <c r="Z112" i="3" s="1"/>
  <c r="X113" i="3"/>
  <c r="W113" i="3" s="1"/>
  <c r="Y113" i="3" s="1"/>
  <c r="X114" i="3"/>
  <c r="W114" i="3" s="1"/>
  <c r="Y114" i="3" s="1"/>
  <c r="Z114" i="3" s="1"/>
  <c r="X115" i="3"/>
  <c r="X116" i="3"/>
  <c r="W116" i="3" s="1"/>
  <c r="Y116" i="3" s="1"/>
  <c r="Z116" i="3" s="1"/>
  <c r="AA116" i="3" s="1"/>
  <c r="X117" i="3"/>
  <c r="W117" i="3" s="1"/>
  <c r="Y117" i="3" s="1"/>
  <c r="Z117" i="3" s="1"/>
  <c r="X118" i="3"/>
  <c r="W118" i="3" s="1"/>
  <c r="Y118" i="3" s="1"/>
  <c r="X119" i="3"/>
  <c r="W119" i="3" s="1"/>
  <c r="Y119" i="3" s="1"/>
  <c r="X120" i="3"/>
  <c r="W120" i="3" s="1"/>
  <c r="Y120" i="3" s="1"/>
  <c r="Z120" i="3" s="1"/>
  <c r="AA120" i="3" s="1"/>
  <c r="X121" i="3"/>
  <c r="X122" i="3"/>
  <c r="W122" i="3" s="1"/>
  <c r="Y122" i="3" s="1"/>
  <c r="X123" i="3"/>
  <c r="X124" i="3"/>
  <c r="W124" i="3" s="1"/>
  <c r="Y124" i="3" s="1"/>
  <c r="Z124" i="3" s="1"/>
  <c r="AA124" i="3" s="1"/>
  <c r="X125" i="3"/>
  <c r="W125" i="3" s="1"/>
  <c r="Y125" i="3" s="1"/>
  <c r="Z125" i="3" s="1"/>
  <c r="X126" i="3"/>
  <c r="W126" i="3" s="1"/>
  <c r="Y126" i="3" s="1"/>
  <c r="X127" i="3"/>
  <c r="X128" i="3"/>
  <c r="W128" i="3" s="1"/>
  <c r="Y128" i="3" s="1"/>
  <c r="Z128" i="3" s="1"/>
  <c r="AA128" i="3" s="1"/>
  <c r="X129" i="3"/>
  <c r="X130" i="3"/>
  <c r="W130" i="3" s="1"/>
  <c r="Y130" i="3" s="1"/>
  <c r="X131" i="3"/>
  <c r="X132" i="3"/>
  <c r="W132" i="3" s="1"/>
  <c r="Y132" i="3" s="1"/>
  <c r="Z132" i="3" s="1"/>
  <c r="X133" i="3"/>
  <c r="W133" i="3" s="1"/>
  <c r="Y133" i="3" s="1"/>
  <c r="Z133" i="3" s="1"/>
  <c r="X134" i="3"/>
  <c r="W134" i="3" s="1"/>
  <c r="Y134" i="3" s="1"/>
  <c r="X135" i="3"/>
  <c r="W135" i="3" s="1"/>
  <c r="Y135" i="3" s="1"/>
  <c r="X136" i="3"/>
  <c r="W136" i="3" s="1"/>
  <c r="Y136" i="3" s="1"/>
  <c r="Z136" i="3" s="1"/>
  <c r="AA136" i="3" s="1"/>
  <c r="X137" i="3"/>
  <c r="X138" i="3"/>
  <c r="W138" i="3" s="1"/>
  <c r="Y138" i="3" s="1"/>
  <c r="X139" i="3"/>
  <c r="W139" i="3" s="1"/>
  <c r="Y139" i="3" s="1"/>
  <c r="Z139" i="3" s="1"/>
  <c r="AB139" i="3" s="1"/>
  <c r="X140" i="3"/>
  <c r="W140" i="3" s="1"/>
  <c r="Y140" i="3" s="1"/>
  <c r="Z140" i="3" s="1"/>
  <c r="AA140" i="3" s="1"/>
  <c r="X141" i="3"/>
  <c r="W141" i="3" s="1"/>
  <c r="Y141" i="3" s="1"/>
  <c r="Z141" i="3" s="1"/>
  <c r="X142" i="3"/>
  <c r="W142" i="3" s="1"/>
  <c r="Y142" i="3" s="1"/>
  <c r="X143" i="3"/>
  <c r="X144" i="3"/>
  <c r="W144" i="3" s="1"/>
  <c r="Y144" i="3" s="1"/>
  <c r="Z144" i="3" s="1"/>
  <c r="AA144" i="3" s="1"/>
  <c r="X145" i="3"/>
  <c r="X146" i="3"/>
  <c r="W146" i="3" s="1"/>
  <c r="Y146" i="3" s="1"/>
  <c r="X147" i="3"/>
  <c r="X148" i="3"/>
  <c r="W148" i="3" s="1"/>
  <c r="Y148" i="3" s="1"/>
  <c r="Z148" i="3" s="1"/>
  <c r="X149" i="3"/>
  <c r="W149" i="3" s="1"/>
  <c r="Y149" i="3" s="1"/>
  <c r="Z149" i="3" s="1"/>
  <c r="X150" i="3"/>
  <c r="W150" i="3" s="1"/>
  <c r="Y150" i="3" s="1"/>
  <c r="X151" i="3"/>
  <c r="W151" i="3" s="1"/>
  <c r="Y151" i="3" s="1"/>
  <c r="X152" i="3"/>
  <c r="W152" i="3" s="1"/>
  <c r="Y152" i="3" s="1"/>
  <c r="Z152" i="3" s="1"/>
  <c r="AA152" i="3" s="1"/>
  <c r="X153" i="3"/>
  <c r="X154" i="3"/>
  <c r="W154" i="3" s="1"/>
  <c r="Y154" i="3" s="1"/>
  <c r="X155" i="3"/>
  <c r="W155" i="3" s="1"/>
  <c r="Y155" i="3" s="1"/>
  <c r="Z155" i="3" s="1"/>
  <c r="AB155" i="3" s="1"/>
  <c r="X156" i="3"/>
  <c r="W156" i="3" s="1"/>
  <c r="Y156" i="3" s="1"/>
  <c r="Z156" i="3" s="1"/>
  <c r="AA156" i="3" s="1"/>
  <c r="X157" i="3"/>
  <c r="W157" i="3" s="1"/>
  <c r="Y157" i="3" s="1"/>
  <c r="Z157" i="3" s="1"/>
  <c r="X158" i="3"/>
  <c r="W158" i="3" s="1"/>
  <c r="Y158" i="3" s="1"/>
  <c r="Z158" i="3" s="1"/>
  <c r="X159" i="3"/>
  <c r="X160" i="3"/>
  <c r="W160" i="3" s="1"/>
  <c r="Y160" i="3" s="1"/>
  <c r="X161" i="3"/>
  <c r="W161" i="3" s="1"/>
  <c r="Y161" i="3" s="1"/>
  <c r="Z161" i="3" s="1"/>
  <c r="X162" i="3"/>
  <c r="W162" i="3" s="1"/>
  <c r="Y162" i="3" s="1"/>
  <c r="X163" i="3"/>
  <c r="X164" i="3"/>
  <c r="W164" i="3" s="1"/>
  <c r="Y164" i="3" s="1"/>
  <c r="Z164" i="3" s="1"/>
  <c r="AB164" i="3" s="1"/>
  <c r="X165" i="3"/>
  <c r="W165" i="3" s="1"/>
  <c r="Y165" i="3" s="1"/>
  <c r="Z165" i="3" s="1"/>
  <c r="X166" i="3"/>
  <c r="W166" i="3" s="1"/>
  <c r="Y166" i="3" s="1"/>
  <c r="Z166" i="3" s="1"/>
  <c r="X167" i="3"/>
  <c r="W167" i="3" s="1"/>
  <c r="Y167" i="3" s="1"/>
  <c r="X168" i="3"/>
  <c r="W168" i="3" s="1"/>
  <c r="Y168" i="3" s="1"/>
  <c r="Z168" i="3" s="1"/>
  <c r="AA168" i="3" s="1"/>
  <c r="X169" i="3"/>
  <c r="X170" i="3"/>
  <c r="W170" i="3" s="1"/>
  <c r="Y170" i="3" s="1"/>
  <c r="Z170" i="3" s="1"/>
  <c r="X171" i="3"/>
  <c r="X172" i="3"/>
  <c r="W172" i="3" s="1"/>
  <c r="Y172" i="3" s="1"/>
  <c r="Z172" i="3" s="1"/>
  <c r="AA172" i="3" s="1"/>
  <c r="X173" i="3"/>
  <c r="W173" i="3" s="1"/>
  <c r="Y173" i="3" s="1"/>
  <c r="Z173" i="3" s="1"/>
  <c r="X174" i="3"/>
  <c r="W174" i="3" s="1"/>
  <c r="Y174" i="3" s="1"/>
  <c r="Z174" i="3" s="1"/>
  <c r="X175" i="3"/>
  <c r="X176" i="3"/>
  <c r="W176" i="3" s="1"/>
  <c r="Y176" i="3" s="1"/>
  <c r="X177" i="3"/>
  <c r="W177" i="3" s="1"/>
  <c r="Y177" i="3" s="1"/>
  <c r="Z177" i="3" s="1"/>
  <c r="X178" i="3"/>
  <c r="W178" i="3" s="1"/>
  <c r="Y178" i="3" s="1"/>
  <c r="X179" i="3"/>
  <c r="X180" i="3"/>
  <c r="W180" i="3" s="1"/>
  <c r="Y180" i="3" s="1"/>
  <c r="Z180" i="3" s="1"/>
  <c r="AB180" i="3" s="1"/>
  <c r="X181" i="3"/>
  <c r="W181" i="3" s="1"/>
  <c r="Y181" i="3" s="1"/>
  <c r="Z181" i="3" s="1"/>
  <c r="X182" i="3"/>
  <c r="W182" i="3" s="1"/>
  <c r="Y182" i="3" s="1"/>
  <c r="Z182" i="3" s="1"/>
  <c r="X183" i="3"/>
  <c r="W183" i="3" s="1"/>
  <c r="Y183" i="3" s="1"/>
  <c r="X184" i="3"/>
  <c r="W184" i="3" s="1"/>
  <c r="Y184" i="3" s="1"/>
  <c r="Z184" i="3" s="1"/>
  <c r="AA184" i="3" s="1"/>
  <c r="X185" i="3"/>
  <c r="X186" i="3"/>
  <c r="W186" i="3" s="1"/>
  <c r="Y186" i="3" s="1"/>
  <c r="Z186" i="3" s="1"/>
  <c r="X187" i="3"/>
  <c r="X188" i="3"/>
  <c r="W188" i="3" s="1"/>
  <c r="Y188" i="3" s="1"/>
  <c r="Z188" i="3" s="1"/>
  <c r="AA188" i="3" s="1"/>
  <c r="X189" i="3"/>
  <c r="W189" i="3" s="1"/>
  <c r="Y189" i="3" s="1"/>
  <c r="Z189" i="3" s="1"/>
  <c r="X190" i="3"/>
  <c r="W190" i="3" s="1"/>
  <c r="Y190" i="3" s="1"/>
  <c r="Z190" i="3" s="1"/>
  <c r="X191" i="3"/>
  <c r="X192" i="3"/>
  <c r="W192" i="3" s="1"/>
  <c r="Y192" i="3" s="1"/>
  <c r="X193" i="3"/>
  <c r="X194" i="3"/>
  <c r="W194" i="3" s="1"/>
  <c r="Y194" i="3" s="1"/>
  <c r="X195" i="3"/>
  <c r="X196" i="3"/>
  <c r="W196" i="3" s="1"/>
  <c r="Y196" i="3" s="1"/>
  <c r="Z196" i="3" s="1"/>
  <c r="AB196" i="3" s="1"/>
  <c r="X197" i="3"/>
  <c r="W197" i="3" s="1"/>
  <c r="Y197" i="3" s="1"/>
  <c r="Z197" i="3" s="1"/>
  <c r="X198" i="3"/>
  <c r="W198" i="3" s="1"/>
  <c r="Y198" i="3" s="1"/>
  <c r="Z198" i="3" s="1"/>
  <c r="X199" i="3"/>
  <c r="W199" i="3" s="1"/>
  <c r="Y199" i="3" s="1"/>
  <c r="X200" i="3"/>
  <c r="W200" i="3" s="1"/>
  <c r="Y200" i="3" s="1"/>
  <c r="Z200" i="3" s="1"/>
  <c r="AA200" i="3" s="1"/>
  <c r="X201" i="3"/>
  <c r="X202" i="3"/>
  <c r="W202" i="3" s="1"/>
  <c r="Y202" i="3" s="1"/>
  <c r="Z202" i="3" s="1"/>
  <c r="X203" i="3"/>
  <c r="W203" i="3" s="1"/>
  <c r="Y203" i="3" s="1"/>
  <c r="Z203" i="3" s="1"/>
  <c r="AB203" i="3" s="1"/>
  <c r="X204" i="3"/>
  <c r="W204" i="3" s="1"/>
  <c r="Y204" i="3" s="1"/>
  <c r="Z204" i="3" s="1"/>
  <c r="AA204" i="3" s="1"/>
  <c r="X205" i="3"/>
  <c r="W205" i="3" s="1"/>
  <c r="Y205" i="3" s="1"/>
  <c r="Z205" i="3" s="1"/>
  <c r="X206" i="3"/>
  <c r="W206" i="3" s="1"/>
  <c r="Y206" i="3" s="1"/>
  <c r="Z206" i="3" s="1"/>
  <c r="X207" i="3"/>
  <c r="X208" i="3"/>
  <c r="W208" i="3" s="1"/>
  <c r="Y208" i="3" s="1"/>
  <c r="X209" i="3"/>
  <c r="X210" i="3"/>
  <c r="W210" i="3" s="1"/>
  <c r="Y210" i="3" s="1"/>
  <c r="X211" i="3"/>
  <c r="X212" i="3"/>
  <c r="W212" i="3" s="1"/>
  <c r="Y212" i="3" s="1"/>
  <c r="Z212" i="3" s="1"/>
  <c r="AB212" i="3" s="1"/>
  <c r="X213" i="3"/>
  <c r="W213" i="3" s="1"/>
  <c r="Y213" i="3" s="1"/>
  <c r="Z213" i="3" s="1"/>
  <c r="X214" i="3"/>
  <c r="W214" i="3" s="1"/>
  <c r="Y214" i="3" s="1"/>
  <c r="Z214" i="3" s="1"/>
  <c r="X215" i="3"/>
  <c r="W215" i="3" s="1"/>
  <c r="Y215" i="3" s="1"/>
  <c r="X216" i="3"/>
  <c r="W216" i="3" s="1"/>
  <c r="Y216" i="3" s="1"/>
  <c r="Z216" i="3" s="1"/>
  <c r="AA216" i="3" s="1"/>
  <c r="X217" i="3"/>
  <c r="X218" i="3"/>
  <c r="W218" i="3" s="1"/>
  <c r="Y218" i="3" s="1"/>
  <c r="Z218" i="3" s="1"/>
  <c r="X219" i="3"/>
  <c r="W219" i="3" s="1"/>
  <c r="Y219" i="3" s="1"/>
  <c r="Z219" i="3" s="1"/>
  <c r="AB219" i="3" s="1"/>
  <c r="X220" i="3"/>
  <c r="W220" i="3" s="1"/>
  <c r="Y220" i="3" s="1"/>
  <c r="Z220" i="3" s="1"/>
  <c r="AA220" i="3" s="1"/>
  <c r="X221" i="3"/>
  <c r="W221" i="3" s="1"/>
  <c r="Y221" i="3" s="1"/>
  <c r="Z221" i="3" s="1"/>
  <c r="X222" i="3"/>
  <c r="W222" i="3" s="1"/>
  <c r="Y222" i="3" s="1"/>
  <c r="Z222" i="3" s="1"/>
  <c r="X223" i="3"/>
  <c r="X224" i="3"/>
  <c r="W224" i="3" s="1"/>
  <c r="Y224" i="3" s="1"/>
  <c r="X225" i="3"/>
  <c r="W225" i="3" s="1"/>
  <c r="Y225" i="3" s="1"/>
  <c r="Z225" i="3" s="1"/>
  <c r="X4" i="3"/>
  <c r="W4" i="3" s="1"/>
  <c r="Y4" i="3" s="1"/>
  <c r="X3" i="3"/>
  <c r="T250" i="3" l="1"/>
  <c r="S250" i="3"/>
  <c r="S529" i="3"/>
  <c r="T529" i="3"/>
  <c r="S465" i="3"/>
  <c r="T465" i="3"/>
  <c r="S249" i="3"/>
  <c r="T249" i="3"/>
  <c r="T528" i="3"/>
  <c r="S528" i="3"/>
  <c r="T480" i="3"/>
  <c r="S480" i="3"/>
  <c r="T432" i="3"/>
  <c r="S432" i="3"/>
  <c r="T384" i="3"/>
  <c r="S384" i="3"/>
  <c r="T336" i="3"/>
  <c r="S336" i="3"/>
  <c r="T288" i="3"/>
  <c r="S288" i="3"/>
  <c r="T1003" i="3"/>
  <c r="S1003" i="3"/>
  <c r="S963" i="3"/>
  <c r="T963" i="3"/>
  <c r="S931" i="3"/>
  <c r="T931" i="3"/>
  <c r="S899" i="3"/>
  <c r="T899" i="3"/>
  <c r="S875" i="3"/>
  <c r="T875" i="3"/>
  <c r="S827" i="3"/>
  <c r="T827" i="3"/>
  <c r="T787" i="3"/>
  <c r="S787" i="3"/>
  <c r="T755" i="3"/>
  <c r="S755" i="3"/>
  <c r="S723" i="3"/>
  <c r="T723" i="3"/>
  <c r="T691" i="3"/>
  <c r="S691" i="3"/>
  <c r="T675" i="3"/>
  <c r="S675" i="3"/>
  <c r="T651" i="3"/>
  <c r="S651" i="3"/>
  <c r="S635" i="3"/>
  <c r="T635" i="3"/>
  <c r="T611" i="3"/>
  <c r="S611" i="3"/>
  <c r="T587" i="3"/>
  <c r="S587" i="3"/>
  <c r="T571" i="3"/>
  <c r="S571" i="3"/>
  <c r="T555" i="3"/>
  <c r="S555" i="3"/>
  <c r="T264" i="3"/>
  <c r="S264" i="3"/>
  <c r="T256" i="3"/>
  <c r="S256" i="3"/>
  <c r="T248" i="3"/>
  <c r="S248" i="3"/>
  <c r="T240" i="3"/>
  <c r="S240" i="3"/>
  <c r="T232" i="3"/>
  <c r="S232" i="3"/>
  <c r="S551" i="3"/>
  <c r="T551" i="3"/>
  <c r="S543" i="3"/>
  <c r="T543" i="3"/>
  <c r="S535" i="3"/>
  <c r="T535" i="3"/>
  <c r="S527" i="3"/>
  <c r="T527" i="3"/>
  <c r="S519" i="3"/>
  <c r="T519" i="3"/>
  <c r="S511" i="3"/>
  <c r="T511" i="3"/>
  <c r="S503" i="3"/>
  <c r="T503" i="3"/>
  <c r="S495" i="3"/>
  <c r="T495" i="3"/>
  <c r="S487" i="3"/>
  <c r="T487" i="3"/>
  <c r="S479" i="3"/>
  <c r="T479" i="3"/>
  <c r="S471" i="3"/>
  <c r="T471" i="3"/>
  <c r="S463" i="3"/>
  <c r="T463" i="3"/>
  <c r="S455" i="3"/>
  <c r="T455" i="3"/>
  <c r="S447" i="3"/>
  <c r="T447" i="3"/>
  <c r="T439" i="3"/>
  <c r="S439" i="3"/>
  <c r="S431" i="3"/>
  <c r="T431" i="3"/>
  <c r="S423" i="3"/>
  <c r="T423" i="3"/>
  <c r="S415" i="3"/>
  <c r="T415" i="3"/>
  <c r="S407" i="3"/>
  <c r="T407" i="3"/>
  <c r="S399" i="3"/>
  <c r="T399" i="3"/>
  <c r="S391" i="3"/>
  <c r="T391" i="3"/>
  <c r="S383" i="3"/>
  <c r="T383" i="3"/>
  <c r="S375" i="3"/>
  <c r="T375" i="3"/>
  <c r="S367" i="3"/>
  <c r="T367" i="3"/>
  <c r="S359" i="3"/>
  <c r="T359" i="3"/>
  <c r="S351" i="3"/>
  <c r="T351" i="3"/>
  <c r="S343" i="3"/>
  <c r="T343" i="3"/>
  <c r="S335" i="3"/>
  <c r="T335" i="3"/>
  <c r="S327" i="3"/>
  <c r="T327" i="3"/>
  <c r="S319" i="3"/>
  <c r="T319" i="3"/>
  <c r="T311" i="3"/>
  <c r="S311" i="3"/>
  <c r="T303" i="3"/>
  <c r="S303" i="3"/>
  <c r="S295" i="3"/>
  <c r="T295" i="3"/>
  <c r="S287" i="3"/>
  <c r="T287" i="3"/>
  <c r="S279" i="3"/>
  <c r="T279" i="3"/>
  <c r="S271" i="3"/>
  <c r="T271" i="3"/>
  <c r="T1018" i="3"/>
  <c r="S1018" i="3"/>
  <c r="T1010" i="3"/>
  <c r="S1010" i="3"/>
  <c r="S1002" i="3"/>
  <c r="T1002" i="3"/>
  <c r="T994" i="3"/>
  <c r="S994" i="3"/>
  <c r="S986" i="3"/>
  <c r="T986" i="3"/>
  <c r="S978" i="3"/>
  <c r="T978" i="3"/>
  <c r="S970" i="3"/>
  <c r="T970" i="3"/>
  <c r="S962" i="3"/>
  <c r="T962" i="3"/>
  <c r="S954" i="3"/>
  <c r="T954" i="3"/>
  <c r="S946" i="3"/>
  <c r="T946" i="3"/>
  <c r="S938" i="3"/>
  <c r="T938" i="3"/>
  <c r="S930" i="3"/>
  <c r="T930" i="3"/>
  <c r="S922" i="3"/>
  <c r="T922" i="3"/>
  <c r="S914" i="3"/>
  <c r="T914" i="3"/>
  <c r="S906" i="3"/>
  <c r="T906" i="3"/>
  <c r="S898" i="3"/>
  <c r="T898" i="3"/>
  <c r="S890" i="3"/>
  <c r="T890" i="3"/>
  <c r="S882" i="3"/>
  <c r="T882" i="3"/>
  <c r="S874" i="3"/>
  <c r="T874" i="3"/>
  <c r="S866" i="3"/>
  <c r="T866" i="3"/>
  <c r="S858" i="3"/>
  <c r="T858" i="3"/>
  <c r="S850" i="3"/>
  <c r="T850" i="3"/>
  <c r="S842" i="3"/>
  <c r="T842" i="3"/>
  <c r="S834" i="3"/>
  <c r="T834" i="3"/>
  <c r="S826" i="3"/>
  <c r="T826" i="3"/>
  <c r="S818" i="3"/>
  <c r="T818" i="3"/>
  <c r="S810" i="3"/>
  <c r="T810" i="3"/>
  <c r="S802" i="3"/>
  <c r="T802" i="3"/>
  <c r="S794" i="3"/>
  <c r="T794" i="3"/>
  <c r="S786" i="3"/>
  <c r="T786" i="3"/>
  <c r="S778" i="3"/>
  <c r="T778" i="3"/>
  <c r="S770" i="3"/>
  <c r="T770" i="3"/>
  <c r="S762" i="3"/>
  <c r="T762" i="3"/>
  <c r="S754" i="3"/>
  <c r="T754" i="3"/>
  <c r="S746" i="3"/>
  <c r="T746" i="3"/>
  <c r="S738" i="3"/>
  <c r="T738" i="3"/>
  <c r="T730" i="3"/>
  <c r="S730" i="3"/>
  <c r="T722" i="3"/>
  <c r="S722" i="3"/>
  <c r="T714" i="3"/>
  <c r="S714" i="3"/>
  <c r="T706" i="3"/>
  <c r="S706" i="3"/>
  <c r="S698" i="3"/>
  <c r="T698" i="3"/>
  <c r="S690" i="3"/>
  <c r="T690" i="3"/>
  <c r="S682" i="3"/>
  <c r="T682" i="3"/>
  <c r="S674" i="3"/>
  <c r="T674" i="3"/>
  <c r="S666" i="3"/>
  <c r="T666" i="3"/>
  <c r="S658" i="3"/>
  <c r="T658" i="3"/>
  <c r="S650" i="3"/>
  <c r="T650" i="3"/>
  <c r="S642" i="3"/>
  <c r="T642" i="3"/>
  <c r="S634" i="3"/>
  <c r="T634" i="3"/>
  <c r="S626" i="3"/>
  <c r="T626" i="3"/>
  <c r="S618" i="3"/>
  <c r="T618" i="3"/>
  <c r="S610" i="3"/>
  <c r="T610" i="3"/>
  <c r="S602" i="3"/>
  <c r="T602" i="3"/>
  <c r="S594" i="3"/>
  <c r="T594" i="3"/>
  <c r="S586" i="3"/>
  <c r="T586" i="3"/>
  <c r="S578" i="3"/>
  <c r="T578" i="3"/>
  <c r="S570" i="3"/>
  <c r="T570" i="3"/>
  <c r="S562" i="3"/>
  <c r="T562" i="3"/>
  <c r="S554" i="3"/>
  <c r="T554" i="3"/>
  <c r="T242" i="3"/>
  <c r="S242" i="3"/>
  <c r="S513" i="3"/>
  <c r="T513" i="3"/>
  <c r="S449" i="3"/>
  <c r="T449" i="3"/>
  <c r="S233" i="3"/>
  <c r="T233" i="3"/>
  <c r="T512" i="3"/>
  <c r="S512" i="3"/>
  <c r="S472" i="3"/>
  <c r="T472" i="3"/>
  <c r="T408" i="3"/>
  <c r="S408" i="3"/>
  <c r="T360" i="3"/>
  <c r="S360" i="3"/>
  <c r="T312" i="3"/>
  <c r="S312" i="3"/>
  <c r="T272" i="3"/>
  <c r="S272" i="3"/>
  <c r="S987" i="3"/>
  <c r="T987" i="3"/>
  <c r="T939" i="3"/>
  <c r="S939" i="3"/>
  <c r="S907" i="3"/>
  <c r="T907" i="3"/>
  <c r="S867" i="3"/>
  <c r="T867" i="3"/>
  <c r="T811" i="3"/>
  <c r="S811" i="3"/>
  <c r="S779" i="3"/>
  <c r="T779" i="3"/>
  <c r="S747" i="3"/>
  <c r="T747" i="3"/>
  <c r="S715" i="3"/>
  <c r="T715" i="3"/>
  <c r="S683" i="3"/>
  <c r="T683" i="3"/>
  <c r="S667" i="3"/>
  <c r="T667" i="3"/>
  <c r="T659" i="3"/>
  <c r="S659" i="3"/>
  <c r="T643" i="3"/>
  <c r="S643" i="3"/>
  <c r="T627" i="3"/>
  <c r="S627" i="3"/>
  <c r="T595" i="3"/>
  <c r="S595" i="3"/>
  <c r="T579" i="3"/>
  <c r="S579" i="3"/>
  <c r="T563" i="3"/>
  <c r="S563" i="3"/>
  <c r="S263" i="3"/>
  <c r="T263" i="3"/>
  <c r="S255" i="3"/>
  <c r="T255" i="3"/>
  <c r="S247" i="3"/>
  <c r="T247" i="3"/>
  <c r="S239" i="3"/>
  <c r="T239" i="3"/>
  <c r="S231" i="3"/>
  <c r="T231" i="3"/>
  <c r="S550" i="3"/>
  <c r="T550" i="3"/>
  <c r="T542" i="3"/>
  <c r="S542" i="3"/>
  <c r="S534" i="3"/>
  <c r="T534" i="3"/>
  <c r="T526" i="3"/>
  <c r="S526" i="3"/>
  <c r="S518" i="3"/>
  <c r="T518" i="3"/>
  <c r="T510" i="3"/>
  <c r="S510" i="3"/>
  <c r="S502" i="3"/>
  <c r="T502" i="3"/>
  <c r="T494" i="3"/>
  <c r="S494" i="3"/>
  <c r="S486" i="3"/>
  <c r="T486" i="3"/>
  <c r="T478" i="3"/>
  <c r="S478" i="3"/>
  <c r="S470" i="3"/>
  <c r="T470" i="3"/>
  <c r="T462" i="3"/>
  <c r="S462" i="3"/>
  <c r="S454" i="3"/>
  <c r="T454" i="3"/>
  <c r="S446" i="3"/>
  <c r="T446" i="3"/>
  <c r="T438" i="3"/>
  <c r="S438" i="3"/>
  <c r="S430" i="3"/>
  <c r="T430" i="3"/>
  <c r="S422" i="3"/>
  <c r="T422" i="3"/>
  <c r="S414" i="3"/>
  <c r="T414" i="3"/>
  <c r="S406" i="3"/>
  <c r="T406" i="3"/>
  <c r="T398" i="3"/>
  <c r="S398" i="3"/>
  <c r="T390" i="3"/>
  <c r="S390" i="3"/>
  <c r="T382" i="3"/>
  <c r="S382" i="3"/>
  <c r="T374" i="3"/>
  <c r="S374" i="3"/>
  <c r="T366" i="3"/>
  <c r="S366" i="3"/>
  <c r="T358" i="3"/>
  <c r="S358" i="3"/>
  <c r="T350" i="3"/>
  <c r="S350" i="3"/>
  <c r="T342" i="3"/>
  <c r="S342" i="3"/>
  <c r="T334" i="3"/>
  <c r="S334" i="3"/>
  <c r="S326" i="3"/>
  <c r="T326" i="3"/>
  <c r="S318" i="3"/>
  <c r="T318" i="3"/>
  <c r="S310" i="3"/>
  <c r="T310" i="3"/>
  <c r="S302" i="3"/>
  <c r="T302" i="3"/>
  <c r="S294" i="3"/>
  <c r="T294" i="3"/>
  <c r="S286" i="3"/>
  <c r="T286" i="3"/>
  <c r="S278" i="3"/>
  <c r="T278" i="3"/>
  <c r="S270" i="3"/>
  <c r="T270" i="3"/>
  <c r="S1017" i="3"/>
  <c r="T1017" i="3"/>
  <c r="S1009" i="3"/>
  <c r="T1009" i="3"/>
  <c r="S1001" i="3"/>
  <c r="T1001" i="3"/>
  <c r="S993" i="3"/>
  <c r="T993" i="3"/>
  <c r="S985" i="3"/>
  <c r="T985" i="3"/>
  <c r="T977" i="3"/>
  <c r="S977" i="3"/>
  <c r="T969" i="3"/>
  <c r="S969" i="3"/>
  <c r="T961" i="3"/>
  <c r="S961" i="3"/>
  <c r="T953" i="3"/>
  <c r="S953" i="3"/>
  <c r="T945" i="3"/>
  <c r="S945" i="3"/>
  <c r="T937" i="3"/>
  <c r="S937" i="3"/>
  <c r="T929" i="3"/>
  <c r="S929" i="3"/>
  <c r="T921" i="3"/>
  <c r="S921" i="3"/>
  <c r="T913" i="3"/>
  <c r="S913" i="3"/>
  <c r="T905" i="3"/>
  <c r="S905" i="3"/>
  <c r="T897" i="3"/>
  <c r="S897" i="3"/>
  <c r="T889" i="3"/>
  <c r="S889" i="3"/>
  <c r="T881" i="3"/>
  <c r="S881" i="3"/>
  <c r="T873" i="3"/>
  <c r="S873" i="3"/>
  <c r="T865" i="3"/>
  <c r="S865" i="3"/>
  <c r="T857" i="3"/>
  <c r="S857" i="3"/>
  <c r="T849" i="3"/>
  <c r="S849" i="3"/>
  <c r="T841" i="3"/>
  <c r="S841" i="3"/>
  <c r="T833" i="3"/>
  <c r="S833" i="3"/>
  <c r="S825" i="3"/>
  <c r="T825" i="3"/>
  <c r="S817" i="3"/>
  <c r="T817" i="3"/>
  <c r="S809" i="3"/>
  <c r="T809" i="3"/>
  <c r="S801" i="3"/>
  <c r="T801" i="3"/>
  <c r="S793" i="3"/>
  <c r="T793" i="3"/>
  <c r="S785" i="3"/>
  <c r="T785" i="3"/>
  <c r="S777" i="3"/>
  <c r="T777" i="3"/>
  <c r="S769" i="3"/>
  <c r="T769" i="3"/>
  <c r="S761" i="3"/>
  <c r="T761" i="3"/>
  <c r="S753" i="3"/>
  <c r="T753" i="3"/>
  <c r="S745" i="3"/>
  <c r="T745" i="3"/>
  <c r="S737" i="3"/>
  <c r="T737" i="3"/>
  <c r="S729" i="3"/>
  <c r="T729" i="3"/>
  <c r="S721" i="3"/>
  <c r="T721" i="3"/>
  <c r="S713" i="3"/>
  <c r="T713" i="3"/>
  <c r="S705" i="3"/>
  <c r="T705" i="3"/>
  <c r="S697" i="3"/>
  <c r="T697" i="3"/>
  <c r="S689" i="3"/>
  <c r="T689" i="3"/>
  <c r="S681" i="3"/>
  <c r="T681" i="3"/>
  <c r="S673" i="3"/>
  <c r="T673" i="3"/>
  <c r="S665" i="3"/>
  <c r="T665" i="3"/>
  <c r="S657" i="3"/>
  <c r="T657" i="3"/>
  <c r="S649" i="3"/>
  <c r="T649" i="3"/>
  <c r="S641" i="3"/>
  <c r="T641" i="3"/>
  <c r="S633" i="3"/>
  <c r="T633" i="3"/>
  <c r="S625" i="3"/>
  <c r="T625" i="3"/>
  <c r="S617" i="3"/>
  <c r="T617" i="3"/>
  <c r="S609" i="3"/>
  <c r="T609" i="3"/>
  <c r="S601" i="3"/>
  <c r="T601" i="3"/>
  <c r="S593" i="3"/>
  <c r="T593" i="3"/>
  <c r="S585" i="3"/>
  <c r="T585" i="3"/>
  <c r="S577" i="3"/>
  <c r="T577" i="3"/>
  <c r="S569" i="3"/>
  <c r="T569" i="3"/>
  <c r="S561" i="3"/>
  <c r="T561" i="3"/>
  <c r="S553" i="3"/>
  <c r="T553" i="3"/>
  <c r="T258" i="3"/>
  <c r="S258" i="3"/>
  <c r="S537" i="3"/>
  <c r="T537" i="3"/>
  <c r="S481" i="3"/>
  <c r="T481" i="3"/>
  <c r="S265" i="3"/>
  <c r="T265" i="3"/>
  <c r="S536" i="3"/>
  <c r="T536" i="3"/>
  <c r="S488" i="3"/>
  <c r="T488" i="3"/>
  <c r="T440" i="3"/>
  <c r="S440" i="3"/>
  <c r="T392" i="3"/>
  <c r="S392" i="3"/>
  <c r="T344" i="3"/>
  <c r="S344" i="3"/>
  <c r="T296" i="3"/>
  <c r="S296" i="3"/>
  <c r="S995" i="3"/>
  <c r="T995" i="3"/>
  <c r="T955" i="3"/>
  <c r="S955" i="3"/>
  <c r="T923" i="3"/>
  <c r="S923" i="3"/>
  <c r="S883" i="3"/>
  <c r="T883" i="3"/>
  <c r="S843" i="3"/>
  <c r="T843" i="3"/>
  <c r="S803" i="3"/>
  <c r="T803" i="3"/>
  <c r="T771" i="3"/>
  <c r="S771" i="3"/>
  <c r="T739" i="3"/>
  <c r="S739" i="3"/>
  <c r="S699" i="3"/>
  <c r="T699" i="3"/>
  <c r="S619" i="3"/>
  <c r="T619" i="3"/>
  <c r="S262" i="3"/>
  <c r="T262" i="3"/>
  <c r="S246" i="3"/>
  <c r="T246" i="3"/>
  <c r="S230" i="3"/>
  <c r="T230" i="3"/>
  <c r="T541" i="3"/>
  <c r="S541" i="3"/>
  <c r="T525" i="3"/>
  <c r="S525" i="3"/>
  <c r="T509" i="3"/>
  <c r="S509" i="3"/>
  <c r="T493" i="3"/>
  <c r="S493" i="3"/>
  <c r="T477" i="3"/>
  <c r="S477" i="3"/>
  <c r="T461" i="3"/>
  <c r="S461" i="3"/>
  <c r="S445" i="3"/>
  <c r="T445" i="3"/>
  <c r="S429" i="3"/>
  <c r="T429" i="3"/>
  <c r="S405" i="3"/>
  <c r="T405" i="3"/>
  <c r="S389" i="3"/>
  <c r="T389" i="3"/>
  <c r="S373" i="3"/>
  <c r="T373" i="3"/>
  <c r="S365" i="3"/>
  <c r="T365" i="3"/>
  <c r="S349" i="3"/>
  <c r="T349" i="3"/>
  <c r="S341" i="3"/>
  <c r="T341" i="3"/>
  <c r="S333" i="3"/>
  <c r="T333" i="3"/>
  <c r="S317" i="3"/>
  <c r="T317" i="3"/>
  <c r="S309" i="3"/>
  <c r="T309" i="3"/>
  <c r="S301" i="3"/>
  <c r="T301" i="3"/>
  <c r="S293" i="3"/>
  <c r="T293" i="3"/>
  <c r="S285" i="3"/>
  <c r="T285" i="3"/>
  <c r="S277" i="3"/>
  <c r="T277" i="3"/>
  <c r="S269" i="3"/>
  <c r="T269" i="3"/>
  <c r="S1016" i="3"/>
  <c r="T1016" i="3"/>
  <c r="S1008" i="3"/>
  <c r="T1008" i="3"/>
  <c r="S1000" i="3"/>
  <c r="T1000" i="3"/>
  <c r="S992" i="3"/>
  <c r="T992" i="3"/>
  <c r="S984" i="3"/>
  <c r="T984" i="3"/>
  <c r="S976" i="3"/>
  <c r="T976" i="3"/>
  <c r="S968" i="3"/>
  <c r="T968" i="3"/>
  <c r="S960" i="3"/>
  <c r="T960" i="3"/>
  <c r="S952" i="3"/>
  <c r="T952" i="3"/>
  <c r="S944" i="3"/>
  <c r="T944" i="3"/>
  <c r="S936" i="3"/>
  <c r="T936" i="3"/>
  <c r="S928" i="3"/>
  <c r="T928" i="3"/>
  <c r="S920" i="3"/>
  <c r="T920" i="3"/>
  <c r="S912" i="3"/>
  <c r="T912" i="3"/>
  <c r="S904" i="3"/>
  <c r="T904" i="3"/>
  <c r="T896" i="3"/>
  <c r="S896" i="3"/>
  <c r="S888" i="3"/>
  <c r="T888" i="3"/>
  <c r="T880" i="3"/>
  <c r="S880" i="3"/>
  <c r="S872" i="3"/>
  <c r="T872" i="3"/>
  <c r="S864" i="3"/>
  <c r="T864" i="3"/>
  <c r="S856" i="3"/>
  <c r="T856" i="3"/>
  <c r="T848" i="3"/>
  <c r="S848" i="3"/>
  <c r="S840" i="3"/>
  <c r="T840" i="3"/>
  <c r="S832" i="3"/>
  <c r="T832" i="3"/>
  <c r="S824" i="3"/>
  <c r="T824" i="3"/>
  <c r="T816" i="3"/>
  <c r="S816" i="3"/>
  <c r="S808" i="3"/>
  <c r="T808" i="3"/>
  <c r="S800" i="3"/>
  <c r="T800" i="3"/>
  <c r="T792" i="3"/>
  <c r="S792" i="3"/>
  <c r="S784" i="3"/>
  <c r="T784" i="3"/>
  <c r="T776" i="3"/>
  <c r="S776" i="3"/>
  <c r="S768" i="3"/>
  <c r="T768" i="3"/>
  <c r="T760" i="3"/>
  <c r="S760" i="3"/>
  <c r="T752" i="3"/>
  <c r="S752" i="3"/>
  <c r="T744" i="3"/>
  <c r="S744" i="3"/>
  <c r="S736" i="3"/>
  <c r="T736" i="3"/>
  <c r="S728" i="3"/>
  <c r="T728" i="3"/>
  <c r="T720" i="3"/>
  <c r="S720" i="3"/>
  <c r="T712" i="3"/>
  <c r="S712" i="3"/>
  <c r="T704" i="3"/>
  <c r="S704" i="3"/>
  <c r="S696" i="3"/>
  <c r="T696" i="3"/>
  <c r="S688" i="3"/>
  <c r="T688" i="3"/>
  <c r="S680" i="3"/>
  <c r="T680" i="3"/>
  <c r="S672" i="3"/>
  <c r="T672" i="3"/>
  <c r="T664" i="3"/>
  <c r="S664" i="3"/>
  <c r="T656" i="3"/>
  <c r="S656" i="3"/>
  <c r="S648" i="3"/>
  <c r="T648" i="3"/>
  <c r="T640" i="3"/>
  <c r="S640" i="3"/>
  <c r="S632" i="3"/>
  <c r="T632" i="3"/>
  <c r="S624" i="3"/>
  <c r="T624" i="3"/>
  <c r="S616" i="3"/>
  <c r="T616" i="3"/>
  <c r="S608" i="3"/>
  <c r="T608" i="3"/>
  <c r="S600" i="3"/>
  <c r="T600" i="3"/>
  <c r="T592" i="3"/>
  <c r="S592" i="3"/>
  <c r="S584" i="3"/>
  <c r="T584" i="3"/>
  <c r="T576" i="3"/>
  <c r="S576" i="3"/>
  <c r="S568" i="3"/>
  <c r="T568" i="3"/>
  <c r="T560" i="3"/>
  <c r="S560" i="3"/>
  <c r="T266" i="3"/>
  <c r="S266" i="3"/>
  <c r="S521" i="3"/>
  <c r="T521" i="3"/>
  <c r="S473" i="3"/>
  <c r="T473" i="3"/>
  <c r="S257" i="3"/>
  <c r="T257" i="3"/>
  <c r="T544" i="3"/>
  <c r="S544" i="3"/>
  <c r="T496" i="3"/>
  <c r="S496" i="3"/>
  <c r="T448" i="3"/>
  <c r="S448" i="3"/>
  <c r="T400" i="3"/>
  <c r="S400" i="3"/>
  <c r="T352" i="3"/>
  <c r="S352" i="3"/>
  <c r="T304" i="3"/>
  <c r="S304" i="3"/>
  <c r="S1011" i="3"/>
  <c r="T1011" i="3"/>
  <c r="S979" i="3"/>
  <c r="T979" i="3"/>
  <c r="S947" i="3"/>
  <c r="T947" i="3"/>
  <c r="S915" i="3"/>
  <c r="T915" i="3"/>
  <c r="S891" i="3"/>
  <c r="T891" i="3"/>
  <c r="S859" i="3"/>
  <c r="T859" i="3"/>
  <c r="S819" i="3"/>
  <c r="T819" i="3"/>
  <c r="S795" i="3"/>
  <c r="T795" i="3"/>
  <c r="S763" i="3"/>
  <c r="T763" i="3"/>
  <c r="S731" i="3"/>
  <c r="T731" i="3"/>
  <c r="T707" i="3"/>
  <c r="S707" i="3"/>
  <c r="S603" i="3"/>
  <c r="T603" i="3"/>
  <c r="S254" i="3"/>
  <c r="T254" i="3"/>
  <c r="S238" i="3"/>
  <c r="T238" i="3"/>
  <c r="T549" i="3"/>
  <c r="S549" i="3"/>
  <c r="T533" i="3"/>
  <c r="S533" i="3"/>
  <c r="T517" i="3"/>
  <c r="S517" i="3"/>
  <c r="T501" i="3"/>
  <c r="S501" i="3"/>
  <c r="T485" i="3"/>
  <c r="S485" i="3"/>
  <c r="T469" i="3"/>
  <c r="S469" i="3"/>
  <c r="T453" i="3"/>
  <c r="S453" i="3"/>
  <c r="S437" i="3"/>
  <c r="T437" i="3"/>
  <c r="S421" i="3"/>
  <c r="T421" i="3"/>
  <c r="S413" i="3"/>
  <c r="T413" i="3"/>
  <c r="S397" i="3"/>
  <c r="T397" i="3"/>
  <c r="S381" i="3"/>
  <c r="T381" i="3"/>
  <c r="S357" i="3"/>
  <c r="T357" i="3"/>
  <c r="S325" i="3"/>
  <c r="T325" i="3"/>
  <c r="S261" i="3"/>
  <c r="T261" i="3"/>
  <c r="S253" i="3"/>
  <c r="T253" i="3"/>
  <c r="S245" i="3"/>
  <c r="T245" i="3"/>
  <c r="S237" i="3"/>
  <c r="T237" i="3"/>
  <c r="S229" i="3"/>
  <c r="T229" i="3"/>
  <c r="T548" i="3"/>
  <c r="S548" i="3"/>
  <c r="T540" i="3"/>
  <c r="S540" i="3"/>
  <c r="T532" i="3"/>
  <c r="S532" i="3"/>
  <c r="T524" i="3"/>
  <c r="S524" i="3"/>
  <c r="T516" i="3"/>
  <c r="S516" i="3"/>
  <c r="T508" i="3"/>
  <c r="S508" i="3"/>
  <c r="T500" i="3"/>
  <c r="S500" i="3"/>
  <c r="T492" i="3"/>
  <c r="S492" i="3"/>
  <c r="T484" i="3"/>
  <c r="S484" i="3"/>
  <c r="T476" i="3"/>
  <c r="S476" i="3"/>
  <c r="T468" i="3"/>
  <c r="S468" i="3"/>
  <c r="T460" i="3"/>
  <c r="S460" i="3"/>
  <c r="T452" i="3"/>
  <c r="S452" i="3"/>
  <c r="S444" i="3"/>
  <c r="T444" i="3"/>
  <c r="T436" i="3"/>
  <c r="S436" i="3"/>
  <c r="T428" i="3"/>
  <c r="S428" i="3"/>
  <c r="T420" i="3"/>
  <c r="S420" i="3"/>
  <c r="T412" i="3"/>
  <c r="S412" i="3"/>
  <c r="T404" i="3"/>
  <c r="S404" i="3"/>
  <c r="T396" i="3"/>
  <c r="S396" i="3"/>
  <c r="T388" i="3"/>
  <c r="S388" i="3"/>
  <c r="T380" i="3"/>
  <c r="S380" i="3"/>
  <c r="S372" i="3"/>
  <c r="T372" i="3"/>
  <c r="S364" i="3"/>
  <c r="T364" i="3"/>
  <c r="S356" i="3"/>
  <c r="T356" i="3"/>
  <c r="S348" i="3"/>
  <c r="T348" i="3"/>
  <c r="S340" i="3"/>
  <c r="T340" i="3"/>
  <c r="T332" i="3"/>
  <c r="S332" i="3"/>
  <c r="T324" i="3"/>
  <c r="S324" i="3"/>
  <c r="T316" i="3"/>
  <c r="S316" i="3"/>
  <c r="S308" i="3"/>
  <c r="T308" i="3"/>
  <c r="S300" i="3"/>
  <c r="T300" i="3"/>
  <c r="S292" i="3"/>
  <c r="T292" i="3"/>
  <c r="S284" i="3"/>
  <c r="T284" i="3"/>
  <c r="S276" i="3"/>
  <c r="T276" i="3"/>
  <c r="S1023" i="3"/>
  <c r="T1023" i="3"/>
  <c r="T1015" i="3"/>
  <c r="S1015" i="3"/>
  <c r="S1007" i="3"/>
  <c r="T1007" i="3"/>
  <c r="S999" i="3"/>
  <c r="T999" i="3"/>
  <c r="T991" i="3"/>
  <c r="S991" i="3"/>
  <c r="S983" i="3"/>
  <c r="T983" i="3"/>
  <c r="T975" i="3"/>
  <c r="S975" i="3"/>
  <c r="S967" i="3"/>
  <c r="T967" i="3"/>
  <c r="T959" i="3"/>
  <c r="S959" i="3"/>
  <c r="S951" i="3"/>
  <c r="T951" i="3"/>
  <c r="T943" i="3"/>
  <c r="S943" i="3"/>
  <c r="S935" i="3"/>
  <c r="T935" i="3"/>
  <c r="T927" i="3"/>
  <c r="S927" i="3"/>
  <c r="S919" i="3"/>
  <c r="T919" i="3"/>
  <c r="S911" i="3"/>
  <c r="T911" i="3"/>
  <c r="S903" i="3"/>
  <c r="T903" i="3"/>
  <c r="S895" i="3"/>
  <c r="T895" i="3"/>
  <c r="S887" i="3"/>
  <c r="T887" i="3"/>
  <c r="S879" i="3"/>
  <c r="T879" i="3"/>
  <c r="S871" i="3"/>
  <c r="T871" i="3"/>
  <c r="S863" i="3"/>
  <c r="T863" i="3"/>
  <c r="S855" i="3"/>
  <c r="T855" i="3"/>
  <c r="S847" i="3"/>
  <c r="T847" i="3"/>
  <c r="S839" i="3"/>
  <c r="T839" i="3"/>
  <c r="S831" i="3"/>
  <c r="T831" i="3"/>
  <c r="S823" i="3"/>
  <c r="T823" i="3"/>
  <c r="S815" i="3"/>
  <c r="T815" i="3"/>
  <c r="S807" i="3"/>
  <c r="T807" i="3"/>
  <c r="S799" i="3"/>
  <c r="T799" i="3"/>
  <c r="S791" i="3"/>
  <c r="T791" i="3"/>
  <c r="S783" i="3"/>
  <c r="T783" i="3"/>
  <c r="S775" i="3"/>
  <c r="T775" i="3"/>
  <c r="S767" i="3"/>
  <c r="T767" i="3"/>
  <c r="S759" i="3"/>
  <c r="T759" i="3"/>
  <c r="S751" i="3"/>
  <c r="T751" i="3"/>
  <c r="S743" i="3"/>
  <c r="T743" i="3"/>
  <c r="S735" i="3"/>
  <c r="T735" i="3"/>
  <c r="S727" i="3"/>
  <c r="T727" i="3"/>
  <c r="S719" i="3"/>
  <c r="T719" i="3"/>
  <c r="S711" i="3"/>
  <c r="T711" i="3"/>
  <c r="S703" i="3"/>
  <c r="T703" i="3"/>
  <c r="S695" i="3"/>
  <c r="T695" i="3"/>
  <c r="S687" i="3"/>
  <c r="T687" i="3"/>
  <c r="S679" i="3"/>
  <c r="T679" i="3"/>
  <c r="S671" i="3"/>
  <c r="T671" i="3"/>
  <c r="S663" i="3"/>
  <c r="T663" i="3"/>
  <c r="S655" i="3"/>
  <c r="T655" i="3"/>
  <c r="S647" i="3"/>
  <c r="T647" i="3"/>
  <c r="S639" i="3"/>
  <c r="T639" i="3"/>
  <c r="S631" i="3"/>
  <c r="T631" i="3"/>
  <c r="S623" i="3"/>
  <c r="T623" i="3"/>
  <c r="S615" i="3"/>
  <c r="T615" i="3"/>
  <c r="S607" i="3"/>
  <c r="T607" i="3"/>
  <c r="S599" i="3"/>
  <c r="T599" i="3"/>
  <c r="S591" i="3"/>
  <c r="T591" i="3"/>
  <c r="S583" i="3"/>
  <c r="T583" i="3"/>
  <c r="S575" i="3"/>
  <c r="T575" i="3"/>
  <c r="S567" i="3"/>
  <c r="T567" i="3"/>
  <c r="S559" i="3"/>
  <c r="T559" i="3"/>
  <c r="T226" i="3"/>
  <c r="S226" i="3"/>
  <c r="S489" i="3"/>
  <c r="T489" i="3"/>
  <c r="S241" i="3"/>
  <c r="T241" i="3"/>
  <c r="S520" i="3"/>
  <c r="T520" i="3"/>
  <c r="T464" i="3"/>
  <c r="S464" i="3"/>
  <c r="T424" i="3"/>
  <c r="S424" i="3"/>
  <c r="T376" i="3"/>
  <c r="S376" i="3"/>
  <c r="T328" i="3"/>
  <c r="S328" i="3"/>
  <c r="T1019" i="3"/>
  <c r="S1019" i="3"/>
  <c r="S851" i="3"/>
  <c r="T851" i="3"/>
  <c r="S260" i="3"/>
  <c r="T260" i="3"/>
  <c r="S244" i="3"/>
  <c r="T244" i="3"/>
  <c r="S228" i="3"/>
  <c r="T228" i="3"/>
  <c r="T531" i="3"/>
  <c r="S531" i="3"/>
  <c r="T515" i="3"/>
  <c r="S515" i="3"/>
  <c r="S491" i="3"/>
  <c r="T491" i="3"/>
  <c r="S475" i="3"/>
  <c r="T475" i="3"/>
  <c r="S459" i="3"/>
  <c r="T459" i="3"/>
  <c r="T443" i="3"/>
  <c r="S443" i="3"/>
  <c r="T419" i="3"/>
  <c r="S419" i="3"/>
  <c r="S403" i="3"/>
  <c r="T403" i="3"/>
  <c r="S379" i="3"/>
  <c r="T379" i="3"/>
  <c r="S363" i="3"/>
  <c r="T363" i="3"/>
  <c r="S347" i="3"/>
  <c r="T347" i="3"/>
  <c r="S331" i="3"/>
  <c r="T331" i="3"/>
  <c r="T315" i="3"/>
  <c r="S315" i="3"/>
  <c r="S299" i="3"/>
  <c r="T299" i="3"/>
  <c r="S275" i="3"/>
  <c r="T275" i="3"/>
  <c r="S1014" i="3"/>
  <c r="T1014" i="3"/>
  <c r="S998" i="3"/>
  <c r="T998" i="3"/>
  <c r="S982" i="3"/>
  <c r="T982" i="3"/>
  <c r="S974" i="3"/>
  <c r="T974" i="3"/>
  <c r="S966" i="3"/>
  <c r="T966" i="3"/>
  <c r="S950" i="3"/>
  <c r="T950" i="3"/>
  <c r="S942" i="3"/>
  <c r="T942" i="3"/>
  <c r="S934" i="3"/>
  <c r="T934" i="3"/>
  <c r="S926" i="3"/>
  <c r="T926" i="3"/>
  <c r="S918" i="3"/>
  <c r="T918" i="3"/>
  <c r="S910" i="3"/>
  <c r="T910" i="3"/>
  <c r="S902" i="3"/>
  <c r="T902" i="3"/>
  <c r="S894" i="3"/>
  <c r="T894" i="3"/>
  <c r="S886" i="3"/>
  <c r="T886" i="3"/>
  <c r="S878" i="3"/>
  <c r="T878" i="3"/>
  <c r="S870" i="3"/>
  <c r="T870" i="3"/>
  <c r="S862" i="3"/>
  <c r="T862" i="3"/>
  <c r="S854" i="3"/>
  <c r="T854" i="3"/>
  <c r="S846" i="3"/>
  <c r="T846" i="3"/>
  <c r="S838" i="3"/>
  <c r="T838" i="3"/>
  <c r="S830" i="3"/>
  <c r="T830" i="3"/>
  <c r="S822" i="3"/>
  <c r="T822" i="3"/>
  <c r="S814" i="3"/>
  <c r="T814" i="3"/>
  <c r="S806" i="3"/>
  <c r="T806" i="3"/>
  <c r="S798" i="3"/>
  <c r="T798" i="3"/>
  <c r="S790" i="3"/>
  <c r="T790" i="3"/>
  <c r="S782" i="3"/>
  <c r="T782" i="3"/>
  <c r="S774" i="3"/>
  <c r="T774" i="3"/>
  <c r="S766" i="3"/>
  <c r="T766" i="3"/>
  <c r="S758" i="3"/>
  <c r="T758" i="3"/>
  <c r="S750" i="3"/>
  <c r="T750" i="3"/>
  <c r="S742" i="3"/>
  <c r="T742" i="3"/>
  <c r="S734" i="3"/>
  <c r="T734" i="3"/>
  <c r="S726" i="3"/>
  <c r="T726" i="3"/>
  <c r="S718" i="3"/>
  <c r="T718" i="3"/>
  <c r="S710" i="3"/>
  <c r="T710" i="3"/>
  <c r="S702" i="3"/>
  <c r="T702" i="3"/>
  <c r="S694" i="3"/>
  <c r="T694" i="3"/>
  <c r="S686" i="3"/>
  <c r="T686" i="3"/>
  <c r="S678" i="3"/>
  <c r="T678" i="3"/>
  <c r="S670" i="3"/>
  <c r="T670" i="3"/>
  <c r="S662" i="3"/>
  <c r="T662" i="3"/>
  <c r="S654" i="3"/>
  <c r="T654" i="3"/>
  <c r="T646" i="3"/>
  <c r="S646" i="3"/>
  <c r="T638" i="3"/>
  <c r="S638" i="3"/>
  <c r="S630" i="3"/>
  <c r="T630" i="3"/>
  <c r="S622" i="3"/>
  <c r="T622" i="3"/>
  <c r="S614" i="3"/>
  <c r="T614" i="3"/>
  <c r="S606" i="3"/>
  <c r="T606" i="3"/>
  <c r="S598" i="3"/>
  <c r="T598" i="3"/>
  <c r="T590" i="3"/>
  <c r="S590" i="3"/>
  <c r="S582" i="3"/>
  <c r="T582" i="3"/>
  <c r="T574" i="3"/>
  <c r="S574" i="3"/>
  <c r="S566" i="3"/>
  <c r="T566" i="3"/>
  <c r="T558" i="3"/>
  <c r="S558" i="3"/>
  <c r="T234" i="3"/>
  <c r="S234" i="3"/>
  <c r="S505" i="3"/>
  <c r="T505" i="3"/>
  <c r="S441" i="3"/>
  <c r="T441" i="3"/>
  <c r="S552" i="3"/>
  <c r="T552" i="3"/>
  <c r="S504" i="3"/>
  <c r="T504" i="3"/>
  <c r="S456" i="3"/>
  <c r="T456" i="3"/>
  <c r="T416" i="3"/>
  <c r="S416" i="3"/>
  <c r="T368" i="3"/>
  <c r="S368" i="3"/>
  <c r="T320" i="3"/>
  <c r="S320" i="3"/>
  <c r="T280" i="3"/>
  <c r="S280" i="3"/>
  <c r="T971" i="3"/>
  <c r="S971" i="3"/>
  <c r="S835" i="3"/>
  <c r="T835" i="3"/>
  <c r="S268" i="3"/>
  <c r="T268" i="3"/>
  <c r="S252" i="3"/>
  <c r="T252" i="3"/>
  <c r="S236" i="3"/>
  <c r="T236" i="3"/>
  <c r="T547" i="3"/>
  <c r="S547" i="3"/>
  <c r="S539" i="3"/>
  <c r="T539" i="3"/>
  <c r="S523" i="3"/>
  <c r="T523" i="3"/>
  <c r="S507" i="3"/>
  <c r="T507" i="3"/>
  <c r="T499" i="3"/>
  <c r="S499" i="3"/>
  <c r="T483" i="3"/>
  <c r="S483" i="3"/>
  <c r="T467" i="3"/>
  <c r="S467" i="3"/>
  <c r="T451" i="3"/>
  <c r="S451" i="3"/>
  <c r="T435" i="3"/>
  <c r="S435" i="3"/>
  <c r="T427" i="3"/>
  <c r="S427" i="3"/>
  <c r="T411" i="3"/>
  <c r="S411" i="3"/>
  <c r="S395" i="3"/>
  <c r="T395" i="3"/>
  <c r="S387" i="3"/>
  <c r="T387" i="3"/>
  <c r="S371" i="3"/>
  <c r="T371" i="3"/>
  <c r="S355" i="3"/>
  <c r="T355" i="3"/>
  <c r="S339" i="3"/>
  <c r="T339" i="3"/>
  <c r="S323" i="3"/>
  <c r="T323" i="3"/>
  <c r="S307" i="3"/>
  <c r="T307" i="3"/>
  <c r="S291" i="3"/>
  <c r="T291" i="3"/>
  <c r="S283" i="3"/>
  <c r="T283" i="3"/>
  <c r="S1022" i="3"/>
  <c r="T1022" i="3"/>
  <c r="S1006" i="3"/>
  <c r="T1006" i="3"/>
  <c r="S990" i="3"/>
  <c r="T990" i="3"/>
  <c r="S958" i="3"/>
  <c r="T958" i="3"/>
  <c r="S267" i="3"/>
  <c r="T267" i="3"/>
  <c r="S259" i="3"/>
  <c r="T259" i="3"/>
  <c r="S251" i="3"/>
  <c r="T251" i="3"/>
  <c r="S243" i="3"/>
  <c r="T243" i="3"/>
  <c r="S235" i="3"/>
  <c r="T235" i="3"/>
  <c r="S227" i="3"/>
  <c r="T227" i="3"/>
  <c r="S546" i="3"/>
  <c r="T546" i="3"/>
  <c r="S538" i="3"/>
  <c r="T538" i="3"/>
  <c r="S530" i="3"/>
  <c r="T530" i="3"/>
  <c r="S522" i="3"/>
  <c r="T522" i="3"/>
  <c r="S514" i="3"/>
  <c r="T514" i="3"/>
  <c r="S506" i="3"/>
  <c r="T506" i="3"/>
  <c r="S498" i="3"/>
  <c r="T498" i="3"/>
  <c r="S490" i="3"/>
  <c r="T490" i="3"/>
  <c r="S482" i="3"/>
  <c r="T482" i="3"/>
  <c r="S474" i="3"/>
  <c r="T474" i="3"/>
  <c r="S466" i="3"/>
  <c r="T466" i="3"/>
  <c r="S458" i="3"/>
  <c r="T458" i="3"/>
  <c r="S450" i="3"/>
  <c r="T450" i="3"/>
  <c r="T442" i="3"/>
  <c r="S442" i="3"/>
  <c r="S434" i="3"/>
  <c r="T434" i="3"/>
  <c r="S426" i="3"/>
  <c r="T426" i="3"/>
  <c r="S418" i="3"/>
  <c r="T418" i="3"/>
  <c r="S410" i="3"/>
  <c r="T410" i="3"/>
  <c r="S402" i="3"/>
  <c r="T402" i="3"/>
  <c r="S394" i="3"/>
  <c r="T394" i="3"/>
  <c r="S386" i="3"/>
  <c r="T386" i="3"/>
  <c r="S378" i="3"/>
  <c r="T378" i="3"/>
  <c r="S370" i="3"/>
  <c r="T370" i="3"/>
  <c r="S362" i="3"/>
  <c r="T362" i="3"/>
  <c r="S354" i="3"/>
  <c r="T354" i="3"/>
  <c r="S346" i="3"/>
  <c r="T346" i="3"/>
  <c r="S338" i="3"/>
  <c r="T338" i="3"/>
  <c r="S330" i="3"/>
  <c r="T330" i="3"/>
  <c r="S322" i="3"/>
  <c r="T322" i="3"/>
  <c r="S314" i="3"/>
  <c r="T314" i="3"/>
  <c r="S306" i="3"/>
  <c r="T306" i="3"/>
  <c r="S298" i="3"/>
  <c r="T298" i="3"/>
  <c r="T290" i="3"/>
  <c r="S290" i="3"/>
  <c r="T282" i="3"/>
  <c r="S282" i="3"/>
  <c r="T274" i="3"/>
  <c r="S274" i="3"/>
  <c r="S1021" i="3"/>
  <c r="T1021" i="3"/>
  <c r="S1013" i="3"/>
  <c r="T1013" i="3"/>
  <c r="S1005" i="3"/>
  <c r="T1005" i="3"/>
  <c r="S997" i="3"/>
  <c r="T997" i="3"/>
  <c r="S989" i="3"/>
  <c r="T989" i="3"/>
  <c r="T981" i="3"/>
  <c r="S981" i="3"/>
  <c r="T973" i="3"/>
  <c r="S973" i="3"/>
  <c r="T965" i="3"/>
  <c r="S965" i="3"/>
  <c r="T957" i="3"/>
  <c r="S957" i="3"/>
  <c r="T949" i="3"/>
  <c r="S949" i="3"/>
  <c r="T941" i="3"/>
  <c r="S941" i="3"/>
  <c r="T933" i="3"/>
  <c r="S933" i="3"/>
  <c r="T925" i="3"/>
  <c r="S925" i="3"/>
  <c r="T917" i="3"/>
  <c r="S917" i="3"/>
  <c r="T909" i="3"/>
  <c r="S909" i="3"/>
  <c r="T901" i="3"/>
  <c r="S901" i="3"/>
  <c r="T893" i="3"/>
  <c r="S893" i="3"/>
  <c r="T885" i="3"/>
  <c r="S885" i="3"/>
  <c r="T877" i="3"/>
  <c r="S877" i="3"/>
  <c r="T869" i="3"/>
  <c r="S869" i="3"/>
  <c r="T861" i="3"/>
  <c r="S861" i="3"/>
  <c r="T853" i="3"/>
  <c r="S853" i="3"/>
  <c r="T845" i="3"/>
  <c r="S845" i="3"/>
  <c r="T837" i="3"/>
  <c r="S837" i="3"/>
  <c r="T829" i="3"/>
  <c r="S829" i="3"/>
  <c r="T821" i="3"/>
  <c r="S821" i="3"/>
  <c r="T813" i="3"/>
  <c r="S813" i="3"/>
  <c r="T805" i="3"/>
  <c r="S805" i="3"/>
  <c r="T797" i="3"/>
  <c r="S797" i="3"/>
  <c r="T789" i="3"/>
  <c r="S789" i="3"/>
  <c r="T781" i="3"/>
  <c r="S781" i="3"/>
  <c r="T773" i="3"/>
  <c r="S773" i="3"/>
  <c r="T765" i="3"/>
  <c r="S765" i="3"/>
  <c r="T757" i="3"/>
  <c r="S757" i="3"/>
  <c r="T749" i="3"/>
  <c r="S749" i="3"/>
  <c r="T741" i="3"/>
  <c r="S741" i="3"/>
  <c r="T733" i="3"/>
  <c r="S733" i="3"/>
  <c r="S725" i="3"/>
  <c r="T725" i="3"/>
  <c r="T717" i="3"/>
  <c r="S717" i="3"/>
  <c r="S709" i="3"/>
  <c r="T709" i="3"/>
  <c r="S701" i="3"/>
  <c r="T701" i="3"/>
  <c r="T693" i="3"/>
  <c r="S693" i="3"/>
  <c r="T685" i="3"/>
  <c r="S685" i="3"/>
  <c r="T677" i="3"/>
  <c r="S677" i="3"/>
  <c r="T669" i="3"/>
  <c r="S669" i="3"/>
  <c r="T661" i="3"/>
  <c r="S661" i="3"/>
  <c r="T653" i="3"/>
  <c r="S653" i="3"/>
  <c r="T645" i="3"/>
  <c r="S645" i="3"/>
  <c r="T637" i="3"/>
  <c r="S637" i="3"/>
  <c r="T629" i="3"/>
  <c r="S629" i="3"/>
  <c r="T621" i="3"/>
  <c r="S621" i="3"/>
  <c r="T613" i="3"/>
  <c r="S613" i="3"/>
  <c r="T605" i="3"/>
  <c r="S605" i="3"/>
  <c r="T597" i="3"/>
  <c r="S597" i="3"/>
  <c r="T589" i="3"/>
  <c r="S589" i="3"/>
  <c r="T581" i="3"/>
  <c r="S581" i="3"/>
  <c r="T573" i="3"/>
  <c r="S573" i="3"/>
  <c r="T565" i="3"/>
  <c r="S565" i="3"/>
  <c r="T557" i="3"/>
  <c r="S557" i="3"/>
  <c r="S545" i="3"/>
  <c r="T545" i="3"/>
  <c r="S497" i="3"/>
  <c r="T497" i="3"/>
  <c r="S457" i="3"/>
  <c r="T457" i="3"/>
  <c r="S433" i="3"/>
  <c r="T433" i="3"/>
  <c r="S425" i="3"/>
  <c r="T425" i="3"/>
  <c r="S417" i="3"/>
  <c r="T417" i="3"/>
  <c r="S409" i="3"/>
  <c r="T409" i="3"/>
  <c r="S401" i="3"/>
  <c r="T401" i="3"/>
  <c r="S393" i="3"/>
  <c r="T393" i="3"/>
  <c r="S385" i="3"/>
  <c r="T385" i="3"/>
  <c r="S377" i="3"/>
  <c r="T377" i="3"/>
  <c r="S369" i="3"/>
  <c r="T369" i="3"/>
  <c r="S361" i="3"/>
  <c r="T361" i="3"/>
  <c r="S353" i="3"/>
  <c r="T353" i="3"/>
  <c r="S345" i="3"/>
  <c r="T345" i="3"/>
  <c r="S337" i="3"/>
  <c r="T337" i="3"/>
  <c r="S329" i="3"/>
  <c r="T329" i="3"/>
  <c r="S321" i="3"/>
  <c r="T321" i="3"/>
  <c r="S313" i="3"/>
  <c r="T313" i="3"/>
  <c r="S305" i="3"/>
  <c r="T305" i="3"/>
  <c r="S297" i="3"/>
  <c r="T297" i="3"/>
  <c r="S289" i="3"/>
  <c r="T289" i="3"/>
  <c r="S281" i="3"/>
  <c r="T281" i="3"/>
  <c r="S273" i="3"/>
  <c r="T273" i="3"/>
  <c r="T1020" i="3"/>
  <c r="S1020" i="3"/>
  <c r="T1012" i="3"/>
  <c r="S1012" i="3"/>
  <c r="T1004" i="3"/>
  <c r="S1004" i="3"/>
  <c r="T996" i="3"/>
  <c r="S996" i="3"/>
  <c r="T988" i="3"/>
  <c r="S988" i="3"/>
  <c r="T980" i="3"/>
  <c r="S980" i="3"/>
  <c r="S972" i="3"/>
  <c r="T972" i="3"/>
  <c r="S964" i="3"/>
  <c r="T964" i="3"/>
  <c r="S956" i="3"/>
  <c r="T956" i="3"/>
  <c r="S948" i="3"/>
  <c r="T948" i="3"/>
  <c r="S940" i="3"/>
  <c r="T940" i="3"/>
  <c r="S932" i="3"/>
  <c r="T932" i="3"/>
  <c r="S924" i="3"/>
  <c r="T924" i="3"/>
  <c r="S916" i="3"/>
  <c r="T916" i="3"/>
  <c r="T908" i="3"/>
  <c r="S908" i="3"/>
  <c r="T900" i="3"/>
  <c r="S900" i="3"/>
  <c r="S892" i="3"/>
  <c r="T892" i="3"/>
  <c r="S884" i="3"/>
  <c r="T884" i="3"/>
  <c r="S876" i="3"/>
  <c r="T876" i="3"/>
  <c r="S868" i="3"/>
  <c r="T868" i="3"/>
  <c r="S860" i="3"/>
  <c r="T860" i="3"/>
  <c r="S852" i="3"/>
  <c r="T852" i="3"/>
  <c r="S844" i="3"/>
  <c r="T844" i="3"/>
  <c r="S836" i="3"/>
  <c r="T836" i="3"/>
  <c r="T828" i="3"/>
  <c r="S828" i="3"/>
  <c r="T820" i="3"/>
  <c r="S820" i="3"/>
  <c r="T812" i="3"/>
  <c r="S812" i="3"/>
  <c r="T804" i="3"/>
  <c r="S804" i="3"/>
  <c r="S796" i="3"/>
  <c r="T796" i="3"/>
  <c r="S788" i="3"/>
  <c r="T788" i="3"/>
  <c r="S780" i="3"/>
  <c r="T780" i="3"/>
  <c r="S772" i="3"/>
  <c r="T772" i="3"/>
  <c r="S764" i="3"/>
  <c r="T764" i="3"/>
  <c r="S756" i="3"/>
  <c r="T756" i="3"/>
  <c r="S748" i="3"/>
  <c r="T748" i="3"/>
  <c r="S740" i="3"/>
  <c r="T740" i="3"/>
  <c r="S732" i="3"/>
  <c r="T732" i="3"/>
  <c r="S724" i="3"/>
  <c r="T724" i="3"/>
  <c r="S716" i="3"/>
  <c r="T716" i="3"/>
  <c r="T708" i="3"/>
  <c r="S708" i="3"/>
  <c r="T700" i="3"/>
  <c r="S700" i="3"/>
  <c r="T692" i="3"/>
  <c r="S692" i="3"/>
  <c r="T684" i="3"/>
  <c r="S684" i="3"/>
  <c r="T676" i="3"/>
  <c r="S676" i="3"/>
  <c r="T668" i="3"/>
  <c r="S668" i="3"/>
  <c r="T660" i="3"/>
  <c r="S660" i="3"/>
  <c r="T652" i="3"/>
  <c r="S652" i="3"/>
  <c r="T644" i="3"/>
  <c r="S644" i="3"/>
  <c r="T636" i="3"/>
  <c r="S636" i="3"/>
  <c r="T628" i="3"/>
  <c r="S628" i="3"/>
  <c r="T620" i="3"/>
  <c r="S620" i="3"/>
  <c r="T612" i="3"/>
  <c r="S612" i="3"/>
  <c r="T604" i="3"/>
  <c r="S604" i="3"/>
  <c r="T596" i="3"/>
  <c r="S596" i="3"/>
  <c r="T588" i="3"/>
  <c r="S588" i="3"/>
  <c r="T580" i="3"/>
  <c r="S580" i="3"/>
  <c r="T572" i="3"/>
  <c r="S572" i="3"/>
  <c r="T564" i="3"/>
  <c r="S564" i="3"/>
  <c r="T556" i="3"/>
  <c r="S556" i="3"/>
  <c r="Z110" i="3"/>
  <c r="Z38" i="3"/>
  <c r="AA38" i="3" s="1"/>
  <c r="Z14" i="3"/>
  <c r="AA14" i="3" s="1"/>
  <c r="Z106" i="3"/>
  <c r="AA106" i="3" s="1"/>
  <c r="Z98" i="3"/>
  <c r="Z66" i="3"/>
  <c r="AA66" i="3" s="1"/>
  <c r="Z50" i="3"/>
  <c r="AA50" i="3" s="1"/>
  <c r="AA236" i="3"/>
  <c r="AB315" i="3"/>
  <c r="AA521" i="3"/>
  <c r="AA539" i="3"/>
  <c r="AA684" i="3"/>
  <c r="AB316" i="3"/>
  <c r="AB587" i="3"/>
  <c r="AA438" i="3"/>
  <c r="Z97" i="3"/>
  <c r="AA97" i="3" s="1"/>
  <c r="AA669" i="3"/>
  <c r="AA603" i="3"/>
  <c r="AA492" i="3"/>
  <c r="AB802" i="3"/>
  <c r="AB691" i="3"/>
  <c r="Z8" i="3"/>
  <c r="AA8" i="3" s="1"/>
  <c r="AB763" i="3"/>
  <c r="AA426" i="3"/>
  <c r="AB785" i="3"/>
  <c r="AB487" i="3"/>
  <c r="AA359" i="3"/>
  <c r="AB300" i="3"/>
  <c r="AA455" i="3"/>
  <c r="AB811" i="3"/>
  <c r="AA631" i="3"/>
  <c r="AA320" i="3"/>
  <c r="AA578" i="3"/>
  <c r="AA280" i="3"/>
  <c r="AB588" i="3"/>
  <c r="AA588" i="3"/>
  <c r="AB523" i="3"/>
  <c r="AA523" i="3"/>
  <c r="AB586" i="3"/>
  <c r="AA586" i="3"/>
  <c r="AA567" i="3"/>
  <c r="AB567" i="3"/>
  <c r="AB555" i="3"/>
  <c r="AA555" i="3"/>
  <c r="Z60" i="3"/>
  <c r="AA60" i="3" s="1"/>
  <c r="Z37" i="3"/>
  <c r="AA37" i="3" s="1"/>
  <c r="Z208" i="3"/>
  <c r="AA208" i="3" s="1"/>
  <c r="Z176" i="3"/>
  <c r="Z138" i="3"/>
  <c r="AA138" i="3" s="1"/>
  <c r="Z82" i="3"/>
  <c r="Z21" i="3"/>
  <c r="AA21" i="3" s="1"/>
  <c r="AA864" i="3"/>
  <c r="AA771" i="3"/>
  <c r="AB495" i="3"/>
  <c r="AA484" i="3"/>
  <c r="AA260" i="3"/>
  <c r="AA383" i="3"/>
  <c r="Z4" i="3"/>
  <c r="AB4" i="3" s="1"/>
  <c r="AB830" i="3"/>
  <c r="AB704" i="3"/>
  <c r="AA649" i="3"/>
  <c r="AB637" i="3"/>
  <c r="AB617" i="3"/>
  <c r="AB595" i="3"/>
  <c r="AA571" i="3"/>
  <c r="AB439" i="3"/>
  <c r="AB399" i="3"/>
  <c r="AB283" i="3"/>
  <c r="AA244" i="3"/>
  <c r="Z122" i="3"/>
  <c r="AB122" i="3" s="1"/>
  <c r="Z109" i="3"/>
  <c r="AB109" i="3" s="1"/>
  <c r="Z101" i="3"/>
  <c r="Z64" i="3"/>
  <c r="AA64" i="3" s="1"/>
  <c r="Z56" i="3"/>
  <c r="AA56" i="3" s="1"/>
  <c r="Z33" i="3"/>
  <c r="AA33" i="3" s="1"/>
  <c r="Z26" i="3"/>
  <c r="AA26" i="3" s="1"/>
  <c r="AB877" i="3"/>
  <c r="AA813" i="3"/>
  <c r="AB661" i="3"/>
  <c r="AA533" i="3"/>
  <c r="AA509" i="3"/>
  <c r="Z192" i="3"/>
  <c r="AA192" i="3" s="1"/>
  <c r="Z160" i="3"/>
  <c r="AB160" i="3" s="1"/>
  <c r="Z85" i="3"/>
  <c r="AA85" i="3" s="1"/>
  <c r="Z32" i="3"/>
  <c r="AB32" i="3" s="1"/>
  <c r="AB713" i="3"/>
  <c r="AA347" i="3"/>
  <c r="AA292" i="3"/>
  <c r="Z13" i="3"/>
  <c r="AB13" i="3" s="1"/>
  <c r="Z24" i="3"/>
  <c r="AA24" i="3" s="1"/>
  <c r="AB829" i="3"/>
  <c r="AA648" i="3"/>
  <c r="AA624" i="3"/>
  <c r="AA616" i="3"/>
  <c r="AA594" i="3"/>
  <c r="AA413" i="3"/>
  <c r="AA296" i="3"/>
  <c r="AA791" i="3"/>
  <c r="AA312" i="3"/>
  <c r="Z113" i="3"/>
  <c r="AA113" i="3" s="1"/>
  <c r="Z77" i="3"/>
  <c r="AB77" i="3" s="1"/>
  <c r="Z69" i="3"/>
  <c r="AB69" i="3" s="1"/>
  <c r="Z53" i="3"/>
  <c r="AA53" i="3" s="1"/>
  <c r="Z45" i="3"/>
  <c r="AA45" i="3" s="1"/>
  <c r="AB688" i="3"/>
  <c r="AA678" i="3"/>
  <c r="AA880" i="3"/>
  <c r="AB880" i="3"/>
  <c r="AA148" i="3"/>
  <c r="AB148" i="3"/>
  <c r="AA132" i="3"/>
  <c r="AB132" i="3"/>
  <c r="AA894" i="3"/>
  <c r="AB894" i="3"/>
  <c r="Z76" i="3"/>
  <c r="AA76" i="3" s="1"/>
  <c r="Z44" i="3"/>
  <c r="AA44" i="3" s="1"/>
  <c r="Z130" i="3"/>
  <c r="Z86" i="3"/>
  <c r="AA86" i="3" s="1"/>
  <c r="Z74" i="3"/>
  <c r="AA74" i="3" s="1"/>
  <c r="Z61" i="3"/>
  <c r="AA61" i="3" s="1"/>
  <c r="Z42" i="3"/>
  <c r="AA42" i="3" s="1"/>
  <c r="Z29" i="3"/>
  <c r="AB29" i="3" s="1"/>
  <c r="Z11" i="3"/>
  <c r="AA11" i="3" s="1"/>
  <c r="AB650" i="3"/>
  <c r="AA650" i="3"/>
  <c r="AA535" i="3"/>
  <c r="AB535" i="3"/>
  <c r="AA531" i="3"/>
  <c r="AB531" i="3"/>
  <c r="AB507" i="3"/>
  <c r="AA507" i="3"/>
  <c r="AA275" i="3"/>
  <c r="AB275" i="3"/>
  <c r="AA814" i="3"/>
  <c r="AB814" i="3"/>
  <c r="AB451" i="3"/>
  <c r="AA451" i="3"/>
  <c r="AB355" i="3"/>
  <c r="AA355" i="3"/>
  <c r="AB336" i="3"/>
  <c r="AA336" i="3"/>
  <c r="AA235" i="3"/>
  <c r="AB235" i="3"/>
  <c r="Z91" i="3"/>
  <c r="Z72" i="3"/>
  <c r="Z59" i="3"/>
  <c r="AA59" i="3" s="1"/>
  <c r="AA826" i="3"/>
  <c r="AB826" i="3"/>
  <c r="AA804" i="3"/>
  <c r="AB804" i="3"/>
  <c r="AB799" i="3"/>
  <c r="AA799" i="3"/>
  <c r="AA778" i="3"/>
  <c r="AB778" i="3"/>
  <c r="AB711" i="3"/>
  <c r="AA711" i="3"/>
  <c r="AA697" i="3"/>
  <c r="AB697" i="3"/>
  <c r="AA672" i="3"/>
  <c r="AB672" i="3"/>
  <c r="AB551" i="3"/>
  <c r="AA415" i="3"/>
  <c r="AB415" i="3"/>
  <c r="AB358" i="3"/>
  <c r="AA358" i="3"/>
  <c r="Z73" i="3"/>
  <c r="AA73" i="3" s="1"/>
  <c r="Z41" i="3"/>
  <c r="AA41" i="3" s="1"/>
  <c r="Z162" i="3"/>
  <c r="Z40" i="3"/>
  <c r="AA40" i="3" s="1"/>
  <c r="Z194" i="3"/>
  <c r="AB194" i="3" s="1"/>
  <c r="Z142" i="3"/>
  <c r="AB128" i="3"/>
  <c r="Z108" i="3"/>
  <c r="AA108" i="3" s="1"/>
  <c r="Z90" i="3"/>
  <c r="AA90" i="3" s="1"/>
  <c r="Z65" i="3"/>
  <c r="AB65" i="3" s="1"/>
  <c r="Z58" i="3"/>
  <c r="AA58" i="3" s="1"/>
  <c r="Z34" i="3"/>
  <c r="AA34" i="3" s="1"/>
  <c r="Z27" i="3"/>
  <c r="AA27" i="3" s="1"/>
  <c r="AB613" i="3"/>
  <c r="AA613" i="3"/>
  <c r="AA403" i="3"/>
  <c r="AB403" i="3"/>
  <c r="AA278" i="3"/>
  <c r="AB278" i="3"/>
  <c r="Z150" i="3"/>
  <c r="Z146" i="3"/>
  <c r="AB146" i="3" s="1"/>
  <c r="Z89" i="3"/>
  <c r="AA89" i="3" s="1"/>
  <c r="Z83" i="3"/>
  <c r="AA83" i="3" s="1"/>
  <c r="Z57" i="3"/>
  <c r="AA818" i="3"/>
  <c r="AB818" i="3"/>
  <c r="AB696" i="3"/>
  <c r="AA696" i="3"/>
  <c r="AB604" i="3"/>
  <c r="AA604" i="3"/>
  <c r="AB537" i="3"/>
  <c r="AA537" i="3"/>
  <c r="AA267" i="3"/>
  <c r="AB267" i="3"/>
  <c r="Z25" i="3"/>
  <c r="AA25" i="3" s="1"/>
  <c r="AA861" i="3"/>
  <c r="AA782" i="3"/>
  <c r="AB782" i="3"/>
  <c r="AA675" i="3"/>
  <c r="AB675" i="3"/>
  <c r="AA563" i="3"/>
  <c r="AB563" i="3"/>
  <c r="AB435" i="3"/>
  <c r="AA435" i="3"/>
  <c r="AA322" i="3"/>
  <c r="AB322" i="3"/>
  <c r="AA307" i="3"/>
  <c r="AB307" i="3"/>
  <c r="AA238" i="3"/>
  <c r="AB238" i="3"/>
  <c r="Z178" i="3"/>
  <c r="AA178" i="3" s="1"/>
  <c r="Z154" i="3"/>
  <c r="AA868" i="3"/>
  <c r="AB868" i="3"/>
  <c r="AB749" i="3"/>
  <c r="AA749" i="3"/>
  <c r="AB463" i="3"/>
  <c r="AA463" i="3"/>
  <c r="AB432" i="3"/>
  <c r="AA432" i="3"/>
  <c r="AA330" i="3"/>
  <c r="AB330" i="3"/>
  <c r="AA227" i="3"/>
  <c r="AB227" i="3"/>
  <c r="Z104" i="3"/>
  <c r="AA104" i="3" s="1"/>
  <c r="Z224" i="3"/>
  <c r="AB224" i="3" s="1"/>
  <c r="Z210" i="3"/>
  <c r="AA210" i="3" s="1"/>
  <c r="AB144" i="3"/>
  <c r="Z93" i="3"/>
  <c r="AA93" i="3" s="1"/>
  <c r="Z75" i="3"/>
  <c r="AB75" i="3" s="1"/>
  <c r="Z62" i="3"/>
  <c r="Z54" i="3"/>
  <c r="Z43" i="3"/>
  <c r="AB43" i="3" s="1"/>
  <c r="Z18" i="3"/>
  <c r="Z12" i="3"/>
  <c r="AA12" i="3" s="1"/>
  <c r="AA790" i="3"/>
  <c r="AB790" i="3"/>
  <c r="AA765" i="3"/>
  <c r="AB765" i="3"/>
  <c r="AB569" i="3"/>
  <c r="AA569" i="3"/>
  <c r="AB511" i="3"/>
  <c r="AA511" i="3"/>
  <c r="AA367" i="3"/>
  <c r="AB367" i="3"/>
  <c r="AB709" i="3"/>
  <c r="AA608" i="3"/>
  <c r="AB579" i="3"/>
  <c r="AB423" i="3"/>
  <c r="AA363" i="3"/>
  <c r="AB310" i="3"/>
  <c r="AB290" i="3"/>
  <c r="AB841" i="3"/>
  <c r="AB789" i="3"/>
  <c r="AB772" i="3"/>
  <c r="AA767" i="3"/>
  <c r="AA705" i="3"/>
  <c r="AB703" i="3"/>
  <c r="AB677" i="3"/>
  <c r="AB641" i="3"/>
  <c r="AB621" i="3"/>
  <c r="AA503" i="3"/>
  <c r="AB479" i="3"/>
  <c r="AA385" i="3"/>
  <c r="AA379" i="3"/>
  <c r="AA351" i="3"/>
  <c r="AB335" i="3"/>
  <c r="AB332" i="3"/>
  <c r="AB247" i="3"/>
  <c r="AB774" i="3"/>
  <c r="AA668" i="3"/>
  <c r="AA602" i="3"/>
  <c r="AA553" i="3"/>
  <c r="AB547" i="3"/>
  <c r="AA467" i="3"/>
  <c r="AA442" i="3"/>
  <c r="AA419" i="3"/>
  <c r="AA387" i="3"/>
  <c r="AA376" i="3"/>
  <c r="AB781" i="3"/>
  <c r="AB653" i="3"/>
  <c r="AA505" i="3"/>
  <c r="AB303" i="3"/>
  <c r="AA795" i="3"/>
  <c r="AB788" i="3"/>
  <c r="AA745" i="3"/>
  <c r="AA733" i="3"/>
  <c r="AA717" i="3"/>
  <c r="AB685" i="3"/>
  <c r="AB270" i="3"/>
  <c r="AA343" i="3"/>
  <c r="AB318" i="3"/>
  <c r="AA996" i="3"/>
  <c r="AB996" i="3"/>
  <c r="AA1000" i="3"/>
  <c r="AB1000" i="3"/>
  <c r="AA991" i="3"/>
  <c r="AB991" i="3"/>
  <c r="AA984" i="3"/>
  <c r="AB984" i="3"/>
  <c r="AA978" i="3"/>
  <c r="AB978" i="3"/>
  <c r="AA970" i="3"/>
  <c r="AB970" i="3"/>
  <c r="AA966" i="3"/>
  <c r="AB966" i="3"/>
  <c r="AA961" i="3"/>
  <c r="AB961" i="3"/>
  <c r="AA936" i="3"/>
  <c r="AB936" i="3"/>
  <c r="AA904" i="3"/>
  <c r="AB904" i="3"/>
  <c r="AA898" i="3"/>
  <c r="AB898" i="3"/>
  <c r="AB887" i="3"/>
  <c r="AA887" i="3"/>
  <c r="AA882" i="3"/>
  <c r="AB882" i="3"/>
  <c r="AA871" i="3"/>
  <c r="AB871" i="3"/>
  <c r="AB867" i="3"/>
  <c r="AA867" i="3"/>
  <c r="AA857" i="3"/>
  <c r="AB857" i="3"/>
  <c r="AA835" i="3"/>
  <c r="AB835" i="3"/>
  <c r="AA794" i="3"/>
  <c r="AB794" i="3"/>
  <c r="AA769" i="3"/>
  <c r="AB769" i="3"/>
  <c r="AA1023" i="3"/>
  <c r="AB1023" i="3"/>
  <c r="AA1019" i="3"/>
  <c r="AB1019" i="3"/>
  <c r="AA1015" i="3"/>
  <c r="AB1015" i="3"/>
  <c r="AA1011" i="3"/>
  <c r="AB1011" i="3"/>
  <c r="AA1007" i="3"/>
  <c r="AB1007" i="3"/>
  <c r="AA999" i="3"/>
  <c r="AB999" i="3"/>
  <c r="AA995" i="3"/>
  <c r="AB995" i="3"/>
  <c r="AA990" i="3"/>
  <c r="AB990" i="3"/>
  <c r="AA983" i="3"/>
  <c r="AB983" i="3"/>
  <c r="AA960" i="3"/>
  <c r="AB960" i="3"/>
  <c r="AA955" i="3"/>
  <c r="AB955" i="3"/>
  <c r="AA949" i="3"/>
  <c r="AB949" i="3"/>
  <c r="AA945" i="3"/>
  <c r="AB945" i="3"/>
  <c r="AA935" i="3"/>
  <c r="AB935" i="3"/>
  <c r="AA926" i="3"/>
  <c r="AB926" i="3"/>
  <c r="AA922" i="3"/>
  <c r="AB922" i="3"/>
  <c r="AA917" i="3"/>
  <c r="AB917" i="3"/>
  <c r="AA913" i="3"/>
  <c r="AB913" i="3"/>
  <c r="AA903" i="3"/>
  <c r="AB903" i="3"/>
  <c r="AA881" i="3"/>
  <c r="AB881" i="3"/>
  <c r="AA876" i="3"/>
  <c r="AB876" i="3"/>
  <c r="AB851" i="3"/>
  <c r="AA851" i="3"/>
  <c r="AA846" i="3"/>
  <c r="AB846" i="3"/>
  <c r="AB827" i="3"/>
  <c r="AA827" i="3"/>
  <c r="AA1022" i="3"/>
  <c r="AB1022" i="3"/>
  <c r="AA1018" i="3"/>
  <c r="AB1018" i="3"/>
  <c r="AA1014" i="3"/>
  <c r="AB1014" i="3"/>
  <c r="AA1010" i="3"/>
  <c r="AB1010" i="3"/>
  <c r="AA989" i="3"/>
  <c r="AB989" i="3"/>
  <c r="AA982" i="3"/>
  <c r="AB982" i="3"/>
  <c r="AA977" i="3"/>
  <c r="AB977" i="3"/>
  <c r="AA965" i="3"/>
  <c r="AB965" i="3"/>
  <c r="AA954" i="3"/>
  <c r="AB954" i="3"/>
  <c r="AA948" i="3"/>
  <c r="AB948" i="3"/>
  <c r="AA944" i="3"/>
  <c r="AB944" i="3"/>
  <c r="AA934" i="3"/>
  <c r="AB934" i="3"/>
  <c r="AA916" i="3"/>
  <c r="AB916" i="3"/>
  <c r="AA912" i="3"/>
  <c r="AB912" i="3"/>
  <c r="AA897" i="3"/>
  <c r="AB897" i="3"/>
  <c r="AA850" i="3"/>
  <c r="AB850" i="3"/>
  <c r="AA817" i="3"/>
  <c r="AB817" i="3"/>
  <c r="AA1003" i="3"/>
  <c r="AB1003" i="3"/>
  <c r="AA994" i="3"/>
  <c r="AB994" i="3"/>
  <c r="AA988" i="3"/>
  <c r="AB988" i="3"/>
  <c r="AB976" i="3"/>
  <c r="AA976" i="3"/>
  <c r="AA969" i="3"/>
  <c r="AB969" i="3"/>
  <c r="AA964" i="3"/>
  <c r="AB964" i="3"/>
  <c r="AA953" i="3"/>
  <c r="AB953" i="3"/>
  <c r="AA943" i="3"/>
  <c r="AB943" i="3"/>
  <c r="AA939" i="3"/>
  <c r="AB939" i="3"/>
  <c r="AA930" i="3"/>
  <c r="AB930" i="3"/>
  <c r="AA921" i="3"/>
  <c r="AB921" i="3"/>
  <c r="AA911" i="3"/>
  <c r="AB911" i="3"/>
  <c r="AA902" i="3"/>
  <c r="AB902" i="3"/>
  <c r="AA896" i="3"/>
  <c r="AB896" i="3"/>
  <c r="AA890" i="3"/>
  <c r="AB890" i="3"/>
  <c r="AB875" i="3"/>
  <c r="AA875" i="3"/>
  <c r="AA863" i="3"/>
  <c r="AB863" i="3"/>
  <c r="AA822" i="3"/>
  <c r="AB822" i="3"/>
  <c r="AA812" i="3"/>
  <c r="AB812" i="3"/>
  <c r="AA1006" i="3"/>
  <c r="AB1006" i="3"/>
  <c r="AA907" i="3"/>
  <c r="AB907" i="3"/>
  <c r="AA1021" i="3"/>
  <c r="AB1021" i="3"/>
  <c r="AA1017" i="3"/>
  <c r="AB1017" i="3"/>
  <c r="AA1013" i="3"/>
  <c r="AB1013" i="3"/>
  <c r="AA1009" i="3"/>
  <c r="AB1009" i="3"/>
  <c r="AA1002" i="3"/>
  <c r="AB1002" i="3"/>
  <c r="AA998" i="3"/>
  <c r="AB998" i="3"/>
  <c r="AA993" i="3"/>
  <c r="AB993" i="3"/>
  <c r="AA981" i="3"/>
  <c r="AB981" i="3"/>
  <c r="AA968" i="3"/>
  <c r="AB968" i="3"/>
  <c r="AA959" i="3"/>
  <c r="AB959" i="3"/>
  <c r="AA952" i="3"/>
  <c r="AB952" i="3"/>
  <c r="AA920" i="3"/>
  <c r="AB920" i="3"/>
  <c r="AA901" i="3"/>
  <c r="AB901" i="3"/>
  <c r="AA893" i="3"/>
  <c r="AB893" i="3"/>
  <c r="AB885" i="3"/>
  <c r="AA885" i="3"/>
  <c r="AA874" i="3"/>
  <c r="AB874" i="3"/>
  <c r="AA866" i="3"/>
  <c r="AB866" i="3"/>
  <c r="AA844" i="3"/>
  <c r="AB844" i="3"/>
  <c r="AB837" i="3"/>
  <c r="AA837" i="3"/>
  <c r="AA833" i="3"/>
  <c r="AB833" i="3"/>
  <c r="AB815" i="3"/>
  <c r="AA815" i="3"/>
  <c r="AA800" i="3"/>
  <c r="AB800" i="3"/>
  <c r="AA792" i="3"/>
  <c r="AB792" i="3"/>
  <c r="AA1020" i="3"/>
  <c r="AB1020" i="3"/>
  <c r="AA1016" i="3"/>
  <c r="AB1016" i="3"/>
  <c r="AA1012" i="3"/>
  <c r="AB1012" i="3"/>
  <c r="AA1008" i="3"/>
  <c r="AB1008" i="3"/>
  <c r="AA992" i="3"/>
  <c r="AB992" i="3"/>
  <c r="AA987" i="3"/>
  <c r="AB987" i="3"/>
  <c r="AA980" i="3"/>
  <c r="AB980" i="3"/>
  <c r="AA975" i="3"/>
  <c r="AB975" i="3"/>
  <c r="AA967" i="3"/>
  <c r="AB967" i="3"/>
  <c r="AA963" i="3"/>
  <c r="AB963" i="3"/>
  <c r="AA958" i="3"/>
  <c r="AB958" i="3"/>
  <c r="AA951" i="3"/>
  <c r="AB951" i="3"/>
  <c r="AA942" i="3"/>
  <c r="AB942" i="3"/>
  <c r="AA938" i="3"/>
  <c r="AB938" i="3"/>
  <c r="AA933" i="3"/>
  <c r="AB933" i="3"/>
  <c r="AA929" i="3"/>
  <c r="AB929" i="3"/>
  <c r="AA919" i="3"/>
  <c r="AB919" i="3"/>
  <c r="AA910" i="3"/>
  <c r="AB910" i="3"/>
  <c r="AA906" i="3"/>
  <c r="AB906" i="3"/>
  <c r="AA900" i="3"/>
  <c r="AB900" i="3"/>
  <c r="AA879" i="3"/>
  <c r="AB879" i="3"/>
  <c r="AB869" i="3"/>
  <c r="AA869" i="3"/>
  <c r="AA862" i="3"/>
  <c r="AB862" i="3"/>
  <c r="AB843" i="3"/>
  <c r="AA843" i="3"/>
  <c r="AB820" i="3"/>
  <c r="AA820" i="3"/>
  <c r="AA997" i="3"/>
  <c r="AB997" i="3"/>
  <c r="AA986" i="3"/>
  <c r="AB986" i="3"/>
  <c r="AB979" i="3"/>
  <c r="AA979" i="3"/>
  <c r="AA957" i="3"/>
  <c r="AB957" i="3"/>
  <c r="AA950" i="3"/>
  <c r="AB950" i="3"/>
  <c r="AA932" i="3"/>
  <c r="AB932" i="3"/>
  <c r="AA928" i="3"/>
  <c r="AB928" i="3"/>
  <c r="AA918" i="3"/>
  <c r="AB918" i="3"/>
  <c r="AA899" i="3"/>
  <c r="AB899" i="3"/>
  <c r="AA895" i="3"/>
  <c r="AB895" i="3"/>
  <c r="AA878" i="3"/>
  <c r="AB878" i="3"/>
  <c r="AA873" i="3"/>
  <c r="AB873" i="3"/>
  <c r="AA865" i="3"/>
  <c r="AB865" i="3"/>
  <c r="AB848" i="3"/>
  <c r="AA848" i="3"/>
  <c r="AA810" i="3"/>
  <c r="AB810" i="3"/>
  <c r="AA1001" i="3"/>
  <c r="AB1001" i="3"/>
  <c r="AA985" i="3"/>
  <c r="AB985" i="3"/>
  <c r="AA974" i="3"/>
  <c r="AB974" i="3"/>
  <c r="AA971" i="3"/>
  <c r="AB971" i="3"/>
  <c r="AA962" i="3"/>
  <c r="AB962" i="3"/>
  <c r="AA956" i="3"/>
  <c r="AB956" i="3"/>
  <c r="AA946" i="3"/>
  <c r="AB946" i="3"/>
  <c r="AA937" i="3"/>
  <c r="AB937" i="3"/>
  <c r="AA927" i="3"/>
  <c r="AB927" i="3"/>
  <c r="AA923" i="3"/>
  <c r="AB923" i="3"/>
  <c r="AA914" i="3"/>
  <c r="AB914" i="3"/>
  <c r="AA905" i="3"/>
  <c r="AB905" i="3"/>
  <c r="AA891" i="3"/>
  <c r="AB891" i="3"/>
  <c r="AA883" i="3"/>
  <c r="AB883" i="3"/>
  <c r="AB872" i="3"/>
  <c r="AA872" i="3"/>
  <c r="AA831" i="3"/>
  <c r="AB831" i="3"/>
  <c r="AA828" i="3"/>
  <c r="AB828" i="3"/>
  <c r="AA1005" i="3"/>
  <c r="AA973" i="3"/>
  <c r="AB941" i="3"/>
  <c r="AB925" i="3"/>
  <c r="AB909" i="3"/>
  <c r="AA888" i="3"/>
  <c r="AB886" i="3"/>
  <c r="AA884" i="3"/>
  <c r="AB870" i="3"/>
  <c r="AA859" i="3"/>
  <c r="AB854" i="3"/>
  <c r="AB838" i="3"/>
  <c r="AA823" i="3"/>
  <c r="AA807" i="3"/>
  <c r="AA796" i="3"/>
  <c r="AB796" i="3"/>
  <c r="AA783" i="3"/>
  <c r="AA770" i="3"/>
  <c r="AB770" i="3"/>
  <c r="AA760" i="3"/>
  <c r="AB760" i="3"/>
  <c r="AA757" i="3"/>
  <c r="AB757" i="3"/>
  <c r="AA752" i="3"/>
  <c r="AB752" i="3"/>
  <c r="AB714" i="3"/>
  <c r="AA714" i="3"/>
  <c r="AB710" i="3"/>
  <c r="AA710" i="3"/>
  <c r="AA892" i="3"/>
  <c r="AB892" i="3"/>
  <c r="AA798" i="3"/>
  <c r="AB798" i="3"/>
  <c r="AA776" i="3"/>
  <c r="AB776" i="3"/>
  <c r="AA773" i="3"/>
  <c r="AB773" i="3"/>
  <c r="AA756" i="3"/>
  <c r="AB756" i="3"/>
  <c r="AB751" i="3"/>
  <c r="AA751" i="3"/>
  <c r="AA736" i="3"/>
  <c r="AB736" i="3"/>
  <c r="AB856" i="3"/>
  <c r="AA856" i="3"/>
  <c r="AA853" i="3"/>
  <c r="AA845" i="3"/>
  <c r="AA840" i="3"/>
  <c r="AB825" i="3"/>
  <c r="AA819" i="3"/>
  <c r="AB809" i="3"/>
  <c r="AB806" i="3"/>
  <c r="AB801" i="3"/>
  <c r="AA786" i="3"/>
  <c r="AB786" i="3"/>
  <c r="AA780" i="3"/>
  <c r="AB780" i="3"/>
  <c r="AA759" i="3"/>
  <c r="AB759" i="3"/>
  <c r="AA755" i="3"/>
  <c r="AB747" i="3"/>
  <c r="AA747" i="3"/>
  <c r="AA739" i="3"/>
  <c r="AB832" i="3"/>
  <c r="AA816" i="3"/>
  <c r="AB816" i="3"/>
  <c r="AB797" i="3"/>
  <c r="AA779" i="3"/>
  <c r="AB779" i="3"/>
  <c r="AB762" i="3"/>
  <c r="AB758" i="3"/>
  <c r="AA750" i="3"/>
  <c r="AB750" i="3"/>
  <c r="AB743" i="3"/>
  <c r="AA743" i="3"/>
  <c r="AB735" i="3"/>
  <c r="AA735" i="3"/>
  <c r="AB723" i="3"/>
  <c r="AA723" i="3"/>
  <c r="AB719" i="3"/>
  <c r="AA719" i="3"/>
  <c r="AA716" i="3"/>
  <c r="AB716" i="3"/>
  <c r="AB1004" i="3"/>
  <c r="AB972" i="3"/>
  <c r="AB947" i="3"/>
  <c r="AB940" i="3"/>
  <c r="AB931" i="3"/>
  <c r="AB924" i="3"/>
  <c r="AB915" i="3"/>
  <c r="AB908" i="3"/>
  <c r="AB858" i="3"/>
  <c r="AB855" i="3"/>
  <c r="AB852" i="3"/>
  <c r="AB847" i="3"/>
  <c r="AA803" i="3"/>
  <c r="AA775" i="3"/>
  <c r="AB775" i="3"/>
  <c r="AA742" i="3"/>
  <c r="AB742" i="3"/>
  <c r="AB731" i="3"/>
  <c r="AA731" i="3"/>
  <c r="AB727" i="3"/>
  <c r="AA727" i="3"/>
  <c r="AB889" i="3"/>
  <c r="AB860" i="3"/>
  <c r="AB849" i="3"/>
  <c r="AA842" i="3"/>
  <c r="AB842" i="3"/>
  <c r="AB839" i="3"/>
  <c r="AA834" i="3"/>
  <c r="AB834" i="3"/>
  <c r="AA824" i="3"/>
  <c r="AA768" i="3"/>
  <c r="AB768" i="3"/>
  <c r="AB741" i="3"/>
  <c r="AA741" i="3"/>
  <c r="AA738" i="3"/>
  <c r="AB738" i="3"/>
  <c r="AA734" i="3"/>
  <c r="AB734" i="3"/>
  <c r="AA726" i="3"/>
  <c r="AB726" i="3"/>
  <c r="AA722" i="3"/>
  <c r="AB722" i="3"/>
  <c r="AA836" i="3"/>
  <c r="AB836" i="3"/>
  <c r="AB821" i="3"/>
  <c r="AA821" i="3"/>
  <c r="AA808" i="3"/>
  <c r="AB808" i="3"/>
  <c r="AA805" i="3"/>
  <c r="AB805" i="3"/>
  <c r="AA793" i="3"/>
  <c r="AB793" i="3"/>
  <c r="AA784" i="3"/>
  <c r="AB784" i="3"/>
  <c r="AB737" i="3"/>
  <c r="AA737" i="3"/>
  <c r="AB725" i="3"/>
  <c r="AA725" i="3"/>
  <c r="AA787" i="3"/>
  <c r="AA764" i="3"/>
  <c r="AB764" i="3"/>
  <c r="AA761" i="3"/>
  <c r="AB761" i="3"/>
  <c r="AA753" i="3"/>
  <c r="AB753" i="3"/>
  <c r="AB729" i="3"/>
  <c r="AA729" i="3"/>
  <c r="AA777" i="3"/>
  <c r="AB777" i="3"/>
  <c r="AA748" i="3"/>
  <c r="AB748" i="3"/>
  <c r="AA732" i="3"/>
  <c r="AB732" i="3"/>
  <c r="AA701" i="3"/>
  <c r="AB701" i="3"/>
  <c r="AB687" i="3"/>
  <c r="AA687" i="3"/>
  <c r="AB660" i="3"/>
  <c r="AA660" i="3"/>
  <c r="AB646" i="3"/>
  <c r="AA646" i="3"/>
  <c r="AA609" i="3"/>
  <c r="AB609" i="3"/>
  <c r="AA695" i="3"/>
  <c r="AB695" i="3"/>
  <c r="AB674" i="3"/>
  <c r="AA674" i="3"/>
  <c r="AB652" i="3"/>
  <c r="AA652" i="3"/>
  <c r="AB622" i="3"/>
  <c r="AA622" i="3"/>
  <c r="AB618" i="3"/>
  <c r="AA618" i="3"/>
  <c r="AA766" i="3"/>
  <c r="AB766" i="3"/>
  <c r="AA754" i="3"/>
  <c r="AB754" i="3"/>
  <c r="AA744" i="3"/>
  <c r="AB744" i="3"/>
  <c r="AA728" i="3"/>
  <c r="AB728" i="3"/>
  <c r="AA721" i="3"/>
  <c r="AB654" i="3"/>
  <c r="AA654" i="3"/>
  <c r="AA718" i="3"/>
  <c r="AB718" i="3"/>
  <c r="AA715" i="3"/>
  <c r="AB715" i="3"/>
  <c r="AB686" i="3"/>
  <c r="AA686" i="3"/>
  <c r="AA625" i="3"/>
  <c r="AB625" i="3"/>
  <c r="AA740" i="3"/>
  <c r="AB740" i="3"/>
  <c r="AA724" i="3"/>
  <c r="AB724" i="3"/>
  <c r="AB708" i="3"/>
  <c r="AA708" i="3"/>
  <c r="AB644" i="3"/>
  <c r="AA644" i="3"/>
  <c r="AA746" i="3"/>
  <c r="AB746" i="3"/>
  <c r="AA730" i="3"/>
  <c r="AB730" i="3"/>
  <c r="AB693" i="3"/>
  <c r="AB634" i="3"/>
  <c r="AA634" i="3"/>
  <c r="AA720" i="3"/>
  <c r="AB720" i="3"/>
  <c r="AB702" i="3"/>
  <c r="AA702" i="3"/>
  <c r="AB640" i="3"/>
  <c r="AA640" i="3"/>
  <c r="AB706" i="3"/>
  <c r="AA706" i="3"/>
  <c r="AB698" i="3"/>
  <c r="AA698" i="3"/>
  <c r="AB582" i="3"/>
  <c r="AA582" i="3"/>
  <c r="AB574" i="3"/>
  <c r="AA574" i="3"/>
  <c r="AA566" i="3"/>
  <c r="AB566" i="3"/>
  <c r="AA554" i="3"/>
  <c r="AB554" i="3"/>
  <c r="AA546" i="3"/>
  <c r="AB546" i="3"/>
  <c r="AA542" i="3"/>
  <c r="AB542" i="3"/>
  <c r="AB441" i="3"/>
  <c r="AA441" i="3"/>
  <c r="AB430" i="3"/>
  <c r="AA430" i="3"/>
  <c r="AA249" i="3"/>
  <c r="AB249" i="3"/>
  <c r="AA229" i="3"/>
  <c r="AB229" i="3"/>
  <c r="AA707" i="3"/>
  <c r="AB707" i="3"/>
  <c r="AA700" i="3"/>
  <c r="AB700" i="3"/>
  <c r="AB683" i="3"/>
  <c r="AA667" i="3"/>
  <c r="AB667" i="3"/>
  <c r="AA651" i="3"/>
  <c r="AB651" i="3"/>
  <c r="AB639" i="3"/>
  <c r="AA639" i="3"/>
  <c r="AB612" i="3"/>
  <c r="AA612" i="3"/>
  <c r="AB600" i="3"/>
  <c r="AA600" i="3"/>
  <c r="AA559" i="3"/>
  <c r="AB559" i="3"/>
  <c r="AA534" i="3"/>
  <c r="AB534" i="3"/>
  <c r="AA680" i="3"/>
  <c r="AA666" i="3"/>
  <c r="AA663" i="3"/>
  <c r="AB657" i="3"/>
  <c r="AA645" i="3"/>
  <c r="AB645" i="3"/>
  <c r="AB630" i="3"/>
  <c r="AA630" i="3"/>
  <c r="AB615" i="3"/>
  <c r="AA615" i="3"/>
  <c r="AA611" i="3"/>
  <c r="AB611" i="3"/>
  <c r="AB605" i="3"/>
  <c r="AA605" i="3"/>
  <c r="AB589" i="3"/>
  <c r="AA589" i="3"/>
  <c r="AB584" i="3"/>
  <c r="AA584" i="3"/>
  <c r="AB525" i="3"/>
  <c r="AA525" i="3"/>
  <c r="AA522" i="3"/>
  <c r="AB522" i="3"/>
  <c r="AB453" i="3"/>
  <c r="AA453" i="3"/>
  <c r="AB690" i="3"/>
  <c r="AA690" i="3"/>
  <c r="AB671" i="3"/>
  <c r="AA671" i="3"/>
  <c r="AB638" i="3"/>
  <c r="AA638" i="3"/>
  <c r="AA633" i="3"/>
  <c r="AA627" i="3"/>
  <c r="AB627" i="3"/>
  <c r="AA620" i="3"/>
  <c r="AB573" i="3"/>
  <c r="AA573" i="3"/>
  <c r="AB541" i="3"/>
  <c r="AA541" i="3"/>
  <c r="AA527" i="3"/>
  <c r="AB527" i="3"/>
  <c r="AB476" i="3"/>
  <c r="AA476" i="3"/>
  <c r="AA471" i="3"/>
  <c r="AB471" i="3"/>
  <c r="AB712" i="3"/>
  <c r="AA692" i="3"/>
  <c r="AB692" i="3"/>
  <c r="AB682" i="3"/>
  <c r="AA682" i="3"/>
  <c r="AB673" i="3"/>
  <c r="AA673" i="3"/>
  <c r="AB662" i="3"/>
  <c r="AA662" i="3"/>
  <c r="AB623" i="3"/>
  <c r="AA623" i="3"/>
  <c r="AB614" i="3"/>
  <c r="AA614" i="3"/>
  <c r="AB607" i="3"/>
  <c r="AA607" i="3"/>
  <c r="AB591" i="3"/>
  <c r="AA591" i="3"/>
  <c r="AA570" i="3"/>
  <c r="AB570" i="3"/>
  <c r="AA562" i="3"/>
  <c r="AB562" i="3"/>
  <c r="AA558" i="3"/>
  <c r="AB558" i="3"/>
  <c r="AA550" i="3"/>
  <c r="AB550" i="3"/>
  <c r="AA538" i="3"/>
  <c r="AB538" i="3"/>
  <c r="AA500" i="3"/>
  <c r="AB500" i="3"/>
  <c r="AB497" i="3"/>
  <c r="AA497" i="3"/>
  <c r="AA699" i="3"/>
  <c r="AB694" i="3"/>
  <c r="AA694" i="3"/>
  <c r="AB689" i="3"/>
  <c r="AA689" i="3"/>
  <c r="AA679" i="3"/>
  <c r="AB679" i="3"/>
  <c r="AA676" i="3"/>
  <c r="AB676" i="3"/>
  <c r="AB670" i="3"/>
  <c r="AA670" i="3"/>
  <c r="AB656" i="3"/>
  <c r="AA656" i="3"/>
  <c r="AB647" i="3"/>
  <c r="AA647" i="3"/>
  <c r="AA635" i="3"/>
  <c r="AB635" i="3"/>
  <c r="AA629" i="3"/>
  <c r="AB596" i="3"/>
  <c r="AA596" i="3"/>
  <c r="AB575" i="3"/>
  <c r="AA575" i="3"/>
  <c r="AA543" i="3"/>
  <c r="AB543" i="3"/>
  <c r="AA510" i="3"/>
  <c r="AB510" i="3"/>
  <c r="AB496" i="3"/>
  <c r="AA496" i="3"/>
  <c r="AA681" i="3"/>
  <c r="AA659" i="3"/>
  <c r="AB659" i="3"/>
  <c r="AB655" i="3"/>
  <c r="AA655" i="3"/>
  <c r="AA643" i="3"/>
  <c r="AB643" i="3"/>
  <c r="AB580" i="3"/>
  <c r="AA580" i="3"/>
  <c r="AA530" i="3"/>
  <c r="AB530" i="3"/>
  <c r="AB512" i="3"/>
  <c r="AA512" i="3"/>
  <c r="AA502" i="3"/>
  <c r="AB502" i="3"/>
  <c r="AA665" i="3"/>
  <c r="AB665" i="3"/>
  <c r="AB658" i="3"/>
  <c r="AA658" i="3"/>
  <c r="AB642" i="3"/>
  <c r="AA642" i="3"/>
  <c r="AB606" i="3"/>
  <c r="AA606" i="3"/>
  <c r="AB598" i="3"/>
  <c r="AA598" i="3"/>
  <c r="AB590" i="3"/>
  <c r="AA590" i="3"/>
  <c r="AB557" i="3"/>
  <c r="AA557" i="3"/>
  <c r="AA664" i="3"/>
  <c r="AA626" i="3"/>
  <c r="AB572" i="3"/>
  <c r="AA572" i="3"/>
  <c r="AA561" i="3"/>
  <c r="AB556" i="3"/>
  <c r="AA556" i="3"/>
  <c r="AA545" i="3"/>
  <c r="AB540" i="3"/>
  <c r="AA540" i="3"/>
  <c r="AA529" i="3"/>
  <c r="AB524" i="3"/>
  <c r="AA524" i="3"/>
  <c r="AA519" i="3"/>
  <c r="AA517" i="3"/>
  <c r="AB490" i="3"/>
  <c r="AA490" i="3"/>
  <c r="AA486" i="3"/>
  <c r="AB486" i="3"/>
  <c r="AA464" i="3"/>
  <c r="AB458" i="3"/>
  <c r="AA458" i="3"/>
  <c r="AA446" i="3"/>
  <c r="AB429" i="3"/>
  <c r="AA429" i="3"/>
  <c r="AB593" i="3"/>
  <c r="AA593" i="3"/>
  <c r="AB577" i="3"/>
  <c r="AA577" i="3"/>
  <c r="AA514" i="3"/>
  <c r="AB514" i="3"/>
  <c r="AB504" i="3"/>
  <c r="AA504" i="3"/>
  <c r="AB493" i="3"/>
  <c r="AA493" i="3"/>
  <c r="AB489" i="3"/>
  <c r="AA489" i="3"/>
  <c r="AB397" i="3"/>
  <c r="AA397" i="3"/>
  <c r="AA628" i="3"/>
  <c r="AA610" i="3"/>
  <c r="AA599" i="3"/>
  <c r="AB599" i="3"/>
  <c r="AA597" i="3"/>
  <c r="AA583" i="3"/>
  <c r="AB583" i="3"/>
  <c r="AA581" i="3"/>
  <c r="AA565" i="3"/>
  <c r="AB560" i="3"/>
  <c r="AA560" i="3"/>
  <c r="AA549" i="3"/>
  <c r="AB544" i="3"/>
  <c r="AA544" i="3"/>
  <c r="AB528" i="3"/>
  <c r="AA528" i="3"/>
  <c r="AA526" i="3"/>
  <c r="AB526" i="3"/>
  <c r="AB516" i="3"/>
  <c r="AA516" i="3"/>
  <c r="AA499" i="3"/>
  <c r="AB499" i="3"/>
  <c r="AB488" i="3"/>
  <c r="AA488" i="3"/>
  <c r="AB482" i="3"/>
  <c r="AA482" i="3"/>
  <c r="AA478" i="3"/>
  <c r="AB478" i="3"/>
  <c r="AA475" i="3"/>
  <c r="AB475" i="3"/>
  <c r="AB469" i="3"/>
  <c r="AA469" i="3"/>
  <c r="AB461" i="3"/>
  <c r="AA461" i="3"/>
  <c r="AB434" i="3"/>
  <c r="AA434" i="3"/>
  <c r="AB400" i="3"/>
  <c r="AA400" i="3"/>
  <c r="AA619" i="3"/>
  <c r="AB619" i="3"/>
  <c r="AA506" i="3"/>
  <c r="AB506" i="3"/>
  <c r="AB485" i="3"/>
  <c r="AA485" i="3"/>
  <c r="AB481" i="3"/>
  <c r="AA481" i="3"/>
  <c r="AB445" i="3"/>
  <c r="AA445" i="3"/>
  <c r="AB437" i="3"/>
  <c r="AA437" i="3"/>
  <c r="AA416" i="3"/>
  <c r="AB416" i="3"/>
  <c r="AB409" i="3"/>
  <c r="AA409" i="3"/>
  <c r="AA632" i="3"/>
  <c r="AB564" i="3"/>
  <c r="AA564" i="3"/>
  <c r="AB548" i="3"/>
  <c r="AA548" i="3"/>
  <c r="AB532" i="3"/>
  <c r="AA532" i="3"/>
  <c r="AA518" i="3"/>
  <c r="AB518" i="3"/>
  <c r="AB508" i="3"/>
  <c r="AA508" i="3"/>
  <c r="AB501" i="3"/>
  <c r="AA501" i="3"/>
  <c r="AB491" i="3"/>
  <c r="AA491" i="3"/>
  <c r="AB480" i="3"/>
  <c r="AA480" i="3"/>
  <c r="AB466" i="3"/>
  <c r="AA466" i="3"/>
  <c r="AB460" i="3"/>
  <c r="AA460" i="3"/>
  <c r="AB425" i="3"/>
  <c r="AA425" i="3"/>
  <c r="AA636" i="3"/>
  <c r="AB592" i="3"/>
  <c r="AA592" i="3"/>
  <c r="AB576" i="3"/>
  <c r="AA576" i="3"/>
  <c r="AB520" i="3"/>
  <c r="AA520" i="3"/>
  <c r="AA515" i="3"/>
  <c r="AA513" i="3"/>
  <c r="AB454" i="3"/>
  <c r="AA454" i="3"/>
  <c r="AB448" i="3"/>
  <c r="AA448" i="3"/>
  <c r="AB444" i="3"/>
  <c r="AA444" i="3"/>
  <c r="AB601" i="3"/>
  <c r="AA601" i="3"/>
  <c r="AB585" i="3"/>
  <c r="AA585" i="3"/>
  <c r="AB568" i="3"/>
  <c r="AA568" i="3"/>
  <c r="AB552" i="3"/>
  <c r="AA552" i="3"/>
  <c r="AB536" i="3"/>
  <c r="AA536" i="3"/>
  <c r="AB498" i="3"/>
  <c r="AA498" i="3"/>
  <c r="AA494" i="3"/>
  <c r="AB494" i="3"/>
  <c r="AB483" i="3"/>
  <c r="AA483" i="3"/>
  <c r="AB477" i="3"/>
  <c r="AA477" i="3"/>
  <c r="AB468" i="3"/>
  <c r="AA468" i="3"/>
  <c r="AB462" i="3"/>
  <c r="AA462" i="3"/>
  <c r="AB450" i="3"/>
  <c r="AA450" i="3"/>
  <c r="AA470" i="3"/>
  <c r="AB465" i="3"/>
  <c r="AA465" i="3"/>
  <c r="AA443" i="3"/>
  <c r="AB443" i="3"/>
  <c r="AB424" i="3"/>
  <c r="AA424" i="3"/>
  <c r="AB422" i="3"/>
  <c r="AA422" i="3"/>
  <c r="AB406" i="3"/>
  <c r="AA406" i="3"/>
  <c r="AA390" i="3"/>
  <c r="AB346" i="3"/>
  <c r="AA346" i="3"/>
  <c r="AA329" i="3"/>
  <c r="AB329" i="3"/>
  <c r="AA297" i="3"/>
  <c r="AB297" i="3"/>
  <c r="AA294" i="3"/>
  <c r="AB294" i="3"/>
  <c r="AA474" i="3"/>
  <c r="AB472" i="3"/>
  <c r="AA472" i="3"/>
  <c r="AB436" i="3"/>
  <c r="AA436" i="3"/>
  <c r="AA431" i="3"/>
  <c r="AB421" i="3"/>
  <c r="AA421" i="3"/>
  <c r="AA354" i="3"/>
  <c r="AA306" i="3"/>
  <c r="AB306" i="3"/>
  <c r="AA301" i="3"/>
  <c r="AB301" i="3"/>
  <c r="AA457" i="3"/>
  <c r="AB433" i="3"/>
  <c r="AA433" i="3"/>
  <c r="AB428" i="3"/>
  <c r="AA428" i="3"/>
  <c r="AB418" i="3"/>
  <c r="AA418" i="3"/>
  <c r="AA412" i="3"/>
  <c r="AB412" i="3"/>
  <c r="AB405" i="3"/>
  <c r="AA405" i="3"/>
  <c r="AB402" i="3"/>
  <c r="AA402" i="3"/>
  <c r="AB393" i="3"/>
  <c r="AA393" i="3"/>
  <c r="AB382" i="3"/>
  <c r="AA382" i="3"/>
  <c r="AB370" i="3"/>
  <c r="AA370" i="3"/>
  <c r="AB357" i="3"/>
  <c r="AA357" i="3"/>
  <c r="AA338" i="3"/>
  <c r="AB338" i="3"/>
  <c r="AA305" i="3"/>
  <c r="AB305" i="3"/>
  <c r="AA459" i="3"/>
  <c r="AB459" i="3"/>
  <c r="AB440" i="3"/>
  <c r="AA440" i="3"/>
  <c r="AA411" i="3"/>
  <c r="AB411" i="3"/>
  <c r="AB408" i="3"/>
  <c r="AA408" i="3"/>
  <c r="AB401" i="3"/>
  <c r="AA401" i="3"/>
  <c r="AB378" i="3"/>
  <c r="AA378" i="3"/>
  <c r="AB373" i="3"/>
  <c r="AA373" i="3"/>
  <c r="AB362" i="3"/>
  <c r="AA362" i="3"/>
  <c r="AB348" i="3"/>
  <c r="AA348" i="3"/>
  <c r="AA309" i="3"/>
  <c r="AB309" i="3"/>
  <c r="AB452" i="3"/>
  <c r="AA452" i="3"/>
  <c r="AA447" i="3"/>
  <c r="AB407" i="3"/>
  <c r="AA404" i="3"/>
  <c r="AB404" i="3"/>
  <c r="AB398" i="3"/>
  <c r="AA398" i="3"/>
  <c r="AB395" i="3"/>
  <c r="AA395" i="3"/>
  <c r="AB381" i="3"/>
  <c r="AA381" i="3"/>
  <c r="AB372" i="3"/>
  <c r="AA372" i="3"/>
  <c r="AB361" i="3"/>
  <c r="AA361" i="3"/>
  <c r="AB356" i="3"/>
  <c r="AA356" i="3"/>
  <c r="AB350" i="3"/>
  <c r="AA350" i="3"/>
  <c r="AB341" i="3"/>
  <c r="AA341" i="3"/>
  <c r="AB308" i="3"/>
  <c r="AA308" i="3"/>
  <c r="AA473" i="3"/>
  <c r="AB449" i="3"/>
  <c r="AA449" i="3"/>
  <c r="AA427" i="3"/>
  <c r="AB427" i="3"/>
  <c r="AB420" i="3"/>
  <c r="AA420" i="3"/>
  <c r="AB414" i="3"/>
  <c r="AA414" i="3"/>
  <c r="AB394" i="3"/>
  <c r="AA394" i="3"/>
  <c r="AB384" i="3"/>
  <c r="AA384" i="3"/>
  <c r="AB353" i="3"/>
  <c r="AA353" i="3"/>
  <c r="AB344" i="3"/>
  <c r="AA344" i="3"/>
  <c r="AA311" i="3"/>
  <c r="AB311" i="3"/>
  <c r="AB456" i="3"/>
  <c r="AA456" i="3"/>
  <c r="AB417" i="3"/>
  <c r="AA417" i="3"/>
  <c r="AB410" i="3"/>
  <c r="AA410" i="3"/>
  <c r="AB375" i="3"/>
  <c r="AA375" i="3"/>
  <c r="AB364" i="3"/>
  <c r="AA364" i="3"/>
  <c r="AB352" i="3"/>
  <c r="AA352" i="3"/>
  <c r="AA326" i="3"/>
  <c r="AB326" i="3"/>
  <c r="AA392" i="3"/>
  <c r="AA374" i="3"/>
  <c r="AB345" i="3"/>
  <c r="AA345" i="3"/>
  <c r="AB331" i="3"/>
  <c r="AB328" i="3"/>
  <c r="AA328" i="3"/>
  <c r="AA325" i="3"/>
  <c r="AB325" i="3"/>
  <c r="AB304" i="3"/>
  <c r="AA304" i="3"/>
  <c r="AA293" i="3"/>
  <c r="AB293" i="3"/>
  <c r="AA281" i="3"/>
  <c r="AB281" i="3"/>
  <c r="AA274" i="3"/>
  <c r="AB274" i="3"/>
  <c r="AA237" i="3"/>
  <c r="AB237" i="3"/>
  <c r="AA233" i="3"/>
  <c r="AB233" i="3"/>
  <c r="AB365" i="3"/>
  <c r="AA365" i="3"/>
  <c r="AB340" i="3"/>
  <c r="AA340" i="3"/>
  <c r="AA334" i="3"/>
  <c r="AB334" i="3"/>
  <c r="AA327" i="3"/>
  <c r="AB327" i="3"/>
  <c r="AA321" i="3"/>
  <c r="AB321" i="3"/>
  <c r="AA289" i="3"/>
  <c r="AB289" i="3"/>
  <c r="AA285" i="3"/>
  <c r="AB285" i="3"/>
  <c r="AA273" i="3"/>
  <c r="AB273" i="3"/>
  <c r="AA253" i="3"/>
  <c r="AB253" i="3"/>
  <c r="AB396" i="3"/>
  <c r="AA396" i="3"/>
  <c r="AA371" i="3"/>
  <c r="AA369" i="3"/>
  <c r="AA360" i="3"/>
  <c r="AB349" i="3"/>
  <c r="AA349" i="3"/>
  <c r="AA342" i="3"/>
  <c r="AA337" i="3"/>
  <c r="AB337" i="3"/>
  <c r="AA314" i="3"/>
  <c r="AB314" i="3"/>
  <c r="AA288" i="3"/>
  <c r="AA277" i="3"/>
  <c r="AB277" i="3"/>
  <c r="AA265" i="3"/>
  <c r="AB265" i="3"/>
  <c r="AA257" i="3"/>
  <c r="AB257" i="3"/>
  <c r="AA239" i="3"/>
  <c r="AB239" i="3"/>
  <c r="AB389" i="3"/>
  <c r="AA389" i="3"/>
  <c r="AB380" i="3"/>
  <c r="AA380" i="3"/>
  <c r="AB324" i="3"/>
  <c r="AA324" i="3"/>
  <c r="AA317" i="3"/>
  <c r="AB317" i="3"/>
  <c r="AA313" i="3"/>
  <c r="AB313" i="3"/>
  <c r="AA299" i="3"/>
  <c r="AB299" i="3"/>
  <c r="AA295" i="3"/>
  <c r="AB295" i="3"/>
  <c r="AB276" i="3"/>
  <c r="AA276" i="3"/>
  <c r="AB256" i="3"/>
  <c r="AA256" i="3"/>
  <c r="AA391" i="3"/>
  <c r="AA339" i="3"/>
  <c r="AA333" i="3"/>
  <c r="AB333" i="3"/>
  <c r="AA323" i="3"/>
  <c r="AB323" i="3"/>
  <c r="AA302" i="3"/>
  <c r="AB298" i="3"/>
  <c r="AA287" i="3"/>
  <c r="AB287" i="3"/>
  <c r="AA279" i="3"/>
  <c r="AB279" i="3"/>
  <c r="AA386" i="3"/>
  <c r="AA366" i="3"/>
  <c r="AA291" i="3"/>
  <c r="AB291" i="3"/>
  <c r="AB388" i="3"/>
  <c r="AA388" i="3"/>
  <c r="AB377" i="3"/>
  <c r="AA377" i="3"/>
  <c r="AB368" i="3"/>
  <c r="AA368" i="3"/>
  <c r="AA286" i="3"/>
  <c r="AB286" i="3"/>
  <c r="AA250" i="3"/>
  <c r="AB250" i="3"/>
  <c r="AA264" i="3"/>
  <c r="AB258" i="3"/>
  <c r="AA255" i="3"/>
  <c r="AB255" i="3"/>
  <c r="AA252" i="3"/>
  <c r="AB242" i="3"/>
  <c r="AA261" i="3"/>
  <c r="AB261" i="3"/>
  <c r="AA245" i="3"/>
  <c r="AB245" i="3"/>
  <c r="AA232" i="3"/>
  <c r="AB232" i="3"/>
  <c r="AB282" i="3"/>
  <c r="AA272" i="3"/>
  <c r="AB266" i="3"/>
  <c r="AB263" i="3"/>
  <c r="AB254" i="3"/>
  <c r="AB251" i="3"/>
  <c r="AA248" i="3"/>
  <c r="AB248" i="3"/>
  <c r="AB231" i="3"/>
  <c r="AA228" i="3"/>
  <c r="AB228" i="3"/>
  <c r="AA269" i="3"/>
  <c r="AB269" i="3"/>
  <c r="AB319" i="3"/>
  <c r="AB284" i="3"/>
  <c r="AB271" i="3"/>
  <c r="AA241" i="3"/>
  <c r="AB241" i="3"/>
  <c r="AB234" i="3"/>
  <c r="AA268" i="3"/>
  <c r="AB262" i="3"/>
  <c r="AB259" i="3"/>
  <c r="AB243" i="3"/>
  <c r="AA240" i="3"/>
  <c r="AA246" i="3"/>
  <c r="AB246" i="3"/>
  <c r="AA230" i="3"/>
  <c r="AB230" i="3"/>
  <c r="AB226" i="3"/>
  <c r="AA226" i="3"/>
  <c r="Z9" i="3"/>
  <c r="AA9" i="3" s="1"/>
  <c r="AB136" i="3"/>
  <c r="AB66" i="3"/>
  <c r="Z30" i="3"/>
  <c r="AA30" i="3" s="1"/>
  <c r="Z118" i="3"/>
  <c r="AB118" i="3" s="1"/>
  <c r="Z102" i="3"/>
  <c r="AA102" i="3" s="1"/>
  <c r="Z22" i="3"/>
  <c r="AA22" i="3" s="1"/>
  <c r="Z78" i="3"/>
  <c r="AA78" i="3" s="1"/>
  <c r="Z70" i="3"/>
  <c r="AA70" i="3" s="1"/>
  <c r="Z223" i="3"/>
  <c r="AB223" i="3" s="1"/>
  <c r="Z215" i="3"/>
  <c r="AB215" i="3" s="1"/>
  <c r="Z207" i="3"/>
  <c r="AB207" i="3" s="1"/>
  <c r="Z199" i="3"/>
  <c r="AB199" i="3" s="1"/>
  <c r="Z191" i="3"/>
  <c r="AB191" i="3" s="1"/>
  <c r="Z183" i="3"/>
  <c r="AB183" i="3" s="1"/>
  <c r="Z175" i="3"/>
  <c r="AB175" i="3" s="1"/>
  <c r="Z167" i="3"/>
  <c r="AB167" i="3" s="1"/>
  <c r="Z159" i="3"/>
  <c r="AB159" i="3" s="1"/>
  <c r="Z151" i="3"/>
  <c r="AB151" i="3" s="1"/>
  <c r="Z143" i="3"/>
  <c r="AB143" i="3" s="1"/>
  <c r="Z135" i="3"/>
  <c r="AB135" i="3" s="1"/>
  <c r="Z119" i="3"/>
  <c r="AB119" i="3" s="1"/>
  <c r="Z87" i="3"/>
  <c r="AA87" i="3" s="1"/>
  <c r="Z79" i="3"/>
  <c r="AB79" i="3" s="1"/>
  <c r="Z63" i="3"/>
  <c r="AA63" i="3" s="1"/>
  <c r="Z55" i="3"/>
  <c r="AA55" i="3" s="1"/>
  <c r="Z47" i="3"/>
  <c r="AB47" i="3" s="1"/>
  <c r="Z31" i="3"/>
  <c r="AB31" i="3" s="1"/>
  <c r="Z23" i="3"/>
  <c r="AB23" i="3" s="1"/>
  <c r="Z15" i="3"/>
  <c r="AA15" i="3" s="1"/>
  <c r="Z134" i="3"/>
  <c r="AB134" i="3" s="1"/>
  <c r="Z126" i="3"/>
  <c r="AA126" i="3" s="1"/>
  <c r="AB116" i="3"/>
  <c r="Z94" i="3"/>
  <c r="AA94" i="3" s="1"/>
  <c r="Z46" i="3"/>
  <c r="AA46" i="3" s="1"/>
  <c r="AB163" i="3"/>
  <c r="AA163" i="3"/>
  <c r="AB211" i="3"/>
  <c r="AA211" i="3"/>
  <c r="AB195" i="3"/>
  <c r="AA195" i="3"/>
  <c r="AA98" i="3"/>
  <c r="AB98" i="3"/>
  <c r="AA96" i="3"/>
  <c r="AB96" i="3"/>
  <c r="AB179" i="3"/>
  <c r="AA179" i="3"/>
  <c r="AB204" i="3"/>
  <c r="AB172" i="3"/>
  <c r="AB140" i="3"/>
  <c r="Z10" i="3"/>
  <c r="AA10" i="3" s="1"/>
  <c r="Z111" i="3"/>
  <c r="AB111" i="3" s="1"/>
  <c r="Z71" i="3"/>
  <c r="AA71" i="3" s="1"/>
  <c r="AB188" i="3"/>
  <c r="AB156" i="3"/>
  <c r="AB124" i="3"/>
  <c r="AB220" i="3"/>
  <c r="AB152" i="3"/>
  <c r="AB120" i="3"/>
  <c r="Z103" i="3"/>
  <c r="AA103" i="3" s="1"/>
  <c r="AB50" i="3"/>
  <c r="Z95" i="3"/>
  <c r="AA95" i="3" s="1"/>
  <c r="AA221" i="3"/>
  <c r="AB221" i="3"/>
  <c r="AA133" i="3"/>
  <c r="AB133" i="3"/>
  <c r="AB222" i="3"/>
  <c r="AA222" i="3"/>
  <c r="AA213" i="3"/>
  <c r="AB213" i="3"/>
  <c r="AA182" i="3"/>
  <c r="AB182" i="3"/>
  <c r="AA153" i="3"/>
  <c r="AB153" i="3"/>
  <c r="AB150" i="3"/>
  <c r="AA150" i="3"/>
  <c r="AA137" i="3"/>
  <c r="AB137" i="3"/>
  <c r="AA121" i="3"/>
  <c r="AB121" i="3"/>
  <c r="AA36" i="3"/>
  <c r="AB36" i="3"/>
  <c r="AA225" i="3"/>
  <c r="AB225" i="3"/>
  <c r="AA206" i="3"/>
  <c r="AB206" i="3"/>
  <c r="AA197" i="3"/>
  <c r="AB197" i="3"/>
  <c r="AA166" i="3"/>
  <c r="AB166" i="3"/>
  <c r="AA16" i="3"/>
  <c r="AB16" i="3"/>
  <c r="AA181" i="3"/>
  <c r="AB181" i="3"/>
  <c r="AA205" i="3"/>
  <c r="AB205" i="3"/>
  <c r="AA193" i="3"/>
  <c r="AB193" i="3"/>
  <c r="AA174" i="3"/>
  <c r="AB174" i="3"/>
  <c r="AA165" i="3"/>
  <c r="AB165" i="3"/>
  <c r="AA162" i="3"/>
  <c r="AB162" i="3"/>
  <c r="AB130" i="3"/>
  <c r="AA130" i="3"/>
  <c r="AA218" i="3"/>
  <c r="AB218" i="3"/>
  <c r="AA202" i="3"/>
  <c r="AB202" i="3"/>
  <c r="AA189" i="3"/>
  <c r="AB189" i="3"/>
  <c r="AA177" i="3"/>
  <c r="AB177" i="3"/>
  <c r="AA158" i="3"/>
  <c r="AB158" i="3"/>
  <c r="AA145" i="3"/>
  <c r="AB145" i="3"/>
  <c r="AB142" i="3"/>
  <c r="AA142" i="3"/>
  <c r="AA129" i="3"/>
  <c r="AB129" i="3"/>
  <c r="AB45" i="3"/>
  <c r="AA209" i="3"/>
  <c r="AB209" i="3"/>
  <c r="AA149" i="3"/>
  <c r="AB149" i="3"/>
  <c r="AA117" i="3"/>
  <c r="AB117" i="3"/>
  <c r="AA217" i="3"/>
  <c r="AB217" i="3"/>
  <c r="AA201" i="3"/>
  <c r="AB201" i="3"/>
  <c r="AA186" i="3"/>
  <c r="AB186" i="3"/>
  <c r="AA176" i="3"/>
  <c r="AB176" i="3"/>
  <c r="AA173" i="3"/>
  <c r="AB173" i="3"/>
  <c r="AA161" i="3"/>
  <c r="AB161" i="3"/>
  <c r="AA107" i="3"/>
  <c r="AB107" i="3"/>
  <c r="AB190" i="3"/>
  <c r="AA190" i="3"/>
  <c r="AA214" i="3"/>
  <c r="AB214" i="3"/>
  <c r="AA185" i="3"/>
  <c r="AB185" i="3"/>
  <c r="AA170" i="3"/>
  <c r="AB170" i="3"/>
  <c r="AA157" i="3"/>
  <c r="AB157" i="3"/>
  <c r="AB154" i="3"/>
  <c r="AA154" i="3"/>
  <c r="AA141" i="3"/>
  <c r="AB141" i="3"/>
  <c r="AB138" i="3"/>
  <c r="AA125" i="3"/>
  <c r="AB125" i="3"/>
  <c r="AA198" i="3"/>
  <c r="AB198" i="3"/>
  <c r="AA169" i="3"/>
  <c r="AB169" i="3"/>
  <c r="AA48" i="3"/>
  <c r="AB48" i="3"/>
  <c r="AA212" i="3"/>
  <c r="AA196" i="3"/>
  <c r="AA105" i="3"/>
  <c r="AB105" i="3"/>
  <c r="AA51" i="3"/>
  <c r="AB51" i="3"/>
  <c r="AA180" i="3"/>
  <c r="AA164" i="3"/>
  <c r="AA101" i="3"/>
  <c r="AB101" i="3"/>
  <c r="AB100" i="3"/>
  <c r="AA72" i="3"/>
  <c r="AB72" i="3"/>
  <c r="AA54" i="3"/>
  <c r="AB54" i="3"/>
  <c r="AA7" i="3"/>
  <c r="AB7" i="3"/>
  <c r="AA19" i="3"/>
  <c r="AB19" i="3"/>
  <c r="AA114" i="3"/>
  <c r="AB114" i="3"/>
  <c r="AA92" i="3"/>
  <c r="AB92" i="3"/>
  <c r="AA57" i="3"/>
  <c r="AB57" i="3"/>
  <c r="AB216" i="3"/>
  <c r="AB200" i="3"/>
  <c r="AB184" i="3"/>
  <c r="AB168" i="3"/>
  <c r="AA99" i="3"/>
  <c r="AB99" i="3"/>
  <c r="AA52" i="3"/>
  <c r="AB52" i="3"/>
  <c r="AA84" i="3"/>
  <c r="AB84" i="3"/>
  <c r="AA28" i="3"/>
  <c r="AB28" i="3"/>
  <c r="AA91" i="3"/>
  <c r="AB91" i="3"/>
  <c r="AA68" i="3"/>
  <c r="AB68" i="3"/>
  <c r="AA39" i="3"/>
  <c r="AB39" i="3"/>
  <c r="AA112" i="3"/>
  <c r="AB112" i="3"/>
  <c r="AA88" i="3"/>
  <c r="AB88" i="3"/>
  <c r="AA80" i="3"/>
  <c r="AB80" i="3"/>
  <c r="AA219" i="3"/>
  <c r="AA203" i="3"/>
  <c r="AA187" i="3"/>
  <c r="AA171" i="3"/>
  <c r="AA155" i="3"/>
  <c r="AA147" i="3"/>
  <c r="AA139" i="3"/>
  <c r="AA131" i="3"/>
  <c r="AA127" i="3"/>
  <c r="AA123" i="3"/>
  <c r="AA115" i="3"/>
  <c r="AA110" i="3"/>
  <c r="AB110" i="3"/>
  <c r="AA20" i="3"/>
  <c r="AB20" i="3"/>
  <c r="AB38" i="3"/>
  <c r="AB97" i="3"/>
  <c r="AB81" i="3"/>
  <c r="AB58" i="3"/>
  <c r="AB49" i="3"/>
  <c r="AB17" i="3"/>
  <c r="AA67" i="3"/>
  <c r="AB67" i="3"/>
  <c r="AA35" i="3"/>
  <c r="AB35" i="3"/>
  <c r="AB14" i="3"/>
  <c r="AA6" i="3"/>
  <c r="AB6" i="3"/>
  <c r="AB2" i="3"/>
  <c r="AA2" i="3"/>
  <c r="AA3" i="3"/>
  <c r="AB3" i="3"/>
  <c r="Q20" i="3"/>
  <c r="R20" i="3" s="1"/>
  <c r="Q21" i="3"/>
  <c r="R21" i="3" s="1"/>
  <c r="Q22" i="3"/>
  <c r="R22" i="3" s="1"/>
  <c r="Q23" i="3"/>
  <c r="R23" i="3" s="1"/>
  <c r="Q24" i="3"/>
  <c r="R24" i="3" s="1"/>
  <c r="Q25" i="3"/>
  <c r="R25" i="3" s="1"/>
  <c r="Q26" i="3"/>
  <c r="R26" i="3" s="1"/>
  <c r="Q27" i="3"/>
  <c r="R27" i="3" s="1"/>
  <c r="Q28" i="3"/>
  <c r="R28" i="3" s="1"/>
  <c r="Q29" i="3"/>
  <c r="R29" i="3" s="1"/>
  <c r="Q30" i="3"/>
  <c r="R30" i="3" s="1"/>
  <c r="Q31" i="3"/>
  <c r="R31" i="3" s="1"/>
  <c r="Q32" i="3"/>
  <c r="R32" i="3" s="1"/>
  <c r="Q33" i="3"/>
  <c r="R33" i="3" s="1"/>
  <c r="Q34" i="3"/>
  <c r="R34" i="3" s="1"/>
  <c r="Q35" i="3"/>
  <c r="R35" i="3" s="1"/>
  <c r="Q36" i="3"/>
  <c r="R36" i="3" s="1"/>
  <c r="Q37" i="3"/>
  <c r="R37" i="3" s="1"/>
  <c r="Q38" i="3"/>
  <c r="R38" i="3" s="1"/>
  <c r="Q39" i="3"/>
  <c r="R39" i="3" s="1"/>
  <c r="Q40" i="3"/>
  <c r="R40" i="3" s="1"/>
  <c r="Q41" i="3"/>
  <c r="R41" i="3" s="1"/>
  <c r="Q42" i="3"/>
  <c r="R42" i="3" s="1"/>
  <c r="Q43" i="3"/>
  <c r="R43" i="3" s="1"/>
  <c r="Q44" i="3"/>
  <c r="R44" i="3" s="1"/>
  <c r="Q45" i="3"/>
  <c r="R45" i="3" s="1"/>
  <c r="Q46" i="3"/>
  <c r="R46" i="3" s="1"/>
  <c r="Q47" i="3"/>
  <c r="R47" i="3" s="1"/>
  <c r="Q48" i="3"/>
  <c r="R48" i="3" s="1"/>
  <c r="Q49" i="3"/>
  <c r="R49" i="3" s="1"/>
  <c r="Q50" i="3"/>
  <c r="R50" i="3" s="1"/>
  <c r="Q51" i="3"/>
  <c r="R51" i="3" s="1"/>
  <c r="Q52" i="3"/>
  <c r="R52" i="3" s="1"/>
  <c r="Q53" i="3"/>
  <c r="R53" i="3" s="1"/>
  <c r="Q54" i="3"/>
  <c r="R54" i="3" s="1"/>
  <c r="Q55" i="3"/>
  <c r="R55" i="3" s="1"/>
  <c r="Q56" i="3"/>
  <c r="R56" i="3" s="1"/>
  <c r="Q57" i="3"/>
  <c r="R57" i="3" s="1"/>
  <c r="Q58" i="3"/>
  <c r="R58" i="3" s="1"/>
  <c r="Q59" i="3"/>
  <c r="R59" i="3" s="1"/>
  <c r="Q60" i="3"/>
  <c r="R60" i="3" s="1"/>
  <c r="Q61" i="3"/>
  <c r="R61" i="3" s="1"/>
  <c r="Q62" i="3"/>
  <c r="R62" i="3" s="1"/>
  <c r="Q63" i="3"/>
  <c r="R63" i="3" s="1"/>
  <c r="Q64" i="3"/>
  <c r="R64" i="3" s="1"/>
  <c r="Q65" i="3"/>
  <c r="R65" i="3" s="1"/>
  <c r="Q66" i="3"/>
  <c r="R66" i="3" s="1"/>
  <c r="Q67" i="3"/>
  <c r="R67" i="3" s="1"/>
  <c r="Q68" i="3"/>
  <c r="R68" i="3" s="1"/>
  <c r="Q69" i="3"/>
  <c r="R69" i="3" s="1"/>
  <c r="Q70" i="3"/>
  <c r="R70" i="3" s="1"/>
  <c r="Q71" i="3"/>
  <c r="R71" i="3" s="1"/>
  <c r="Q72" i="3"/>
  <c r="R72" i="3" s="1"/>
  <c r="Q73" i="3"/>
  <c r="R73" i="3" s="1"/>
  <c r="Q74" i="3"/>
  <c r="R74" i="3" s="1"/>
  <c r="Q75" i="3"/>
  <c r="R75" i="3" s="1"/>
  <c r="Q76" i="3"/>
  <c r="R76" i="3" s="1"/>
  <c r="Q77" i="3"/>
  <c r="R77" i="3" s="1"/>
  <c r="Q78" i="3"/>
  <c r="R78" i="3" s="1"/>
  <c r="Q79" i="3"/>
  <c r="R79" i="3" s="1"/>
  <c r="Q80" i="3"/>
  <c r="R80" i="3" s="1"/>
  <c r="Q81" i="3"/>
  <c r="R81" i="3" s="1"/>
  <c r="Q82" i="3"/>
  <c r="R82" i="3" s="1"/>
  <c r="Q83" i="3"/>
  <c r="R83" i="3" s="1"/>
  <c r="Q84" i="3"/>
  <c r="R84" i="3" s="1"/>
  <c r="Q85" i="3"/>
  <c r="R85" i="3" s="1"/>
  <c r="Q86" i="3"/>
  <c r="R86" i="3" s="1"/>
  <c r="Q87" i="3"/>
  <c r="R87" i="3" s="1"/>
  <c r="Q88" i="3"/>
  <c r="R88" i="3" s="1"/>
  <c r="Q89" i="3"/>
  <c r="R89" i="3" s="1"/>
  <c r="Q90" i="3"/>
  <c r="R90" i="3" s="1"/>
  <c r="Q91" i="3"/>
  <c r="R91" i="3" s="1"/>
  <c r="Q92" i="3"/>
  <c r="R92" i="3" s="1"/>
  <c r="Q93" i="3"/>
  <c r="R93" i="3" s="1"/>
  <c r="Q94" i="3"/>
  <c r="R94" i="3" s="1"/>
  <c r="Q95" i="3"/>
  <c r="R95" i="3" s="1"/>
  <c r="Q96" i="3"/>
  <c r="R96" i="3" s="1"/>
  <c r="Q97" i="3"/>
  <c r="R97" i="3" s="1"/>
  <c r="Q98" i="3"/>
  <c r="R98" i="3" s="1"/>
  <c r="Q99" i="3"/>
  <c r="R99" i="3" s="1"/>
  <c r="Q100" i="3"/>
  <c r="R100" i="3" s="1"/>
  <c r="Q101" i="3"/>
  <c r="R101" i="3" s="1"/>
  <c r="Q102" i="3"/>
  <c r="R102" i="3" s="1"/>
  <c r="Q103" i="3"/>
  <c r="R103" i="3" s="1"/>
  <c r="Q104" i="3"/>
  <c r="R104" i="3" s="1"/>
  <c r="Q105" i="3"/>
  <c r="R105" i="3" s="1"/>
  <c r="Q106" i="3"/>
  <c r="R106" i="3" s="1"/>
  <c r="Q107" i="3"/>
  <c r="R107" i="3" s="1"/>
  <c r="Q108" i="3"/>
  <c r="R108" i="3" s="1"/>
  <c r="Q109" i="3"/>
  <c r="R109" i="3" s="1"/>
  <c r="Q110" i="3"/>
  <c r="R110" i="3" s="1"/>
  <c r="Q111" i="3"/>
  <c r="R111" i="3" s="1"/>
  <c r="Q112" i="3"/>
  <c r="R112" i="3" s="1"/>
  <c r="Q113" i="3"/>
  <c r="R113" i="3" s="1"/>
  <c r="Q114" i="3"/>
  <c r="R114" i="3" s="1"/>
  <c r="Q115" i="3"/>
  <c r="R115" i="3" s="1"/>
  <c r="Q116" i="3"/>
  <c r="R116" i="3" s="1"/>
  <c r="Q117" i="3"/>
  <c r="R117" i="3" s="1"/>
  <c r="Q118" i="3"/>
  <c r="R118" i="3" s="1"/>
  <c r="Q119" i="3"/>
  <c r="R119" i="3" s="1"/>
  <c r="Q120" i="3"/>
  <c r="R120" i="3" s="1"/>
  <c r="Q121" i="3"/>
  <c r="R121" i="3" s="1"/>
  <c r="Q122" i="3"/>
  <c r="R122" i="3" s="1"/>
  <c r="Q123" i="3"/>
  <c r="R123" i="3" s="1"/>
  <c r="Q124" i="3"/>
  <c r="R124" i="3" s="1"/>
  <c r="Q125" i="3"/>
  <c r="R125" i="3" s="1"/>
  <c r="Q126" i="3"/>
  <c r="R126" i="3" s="1"/>
  <c r="Q127" i="3"/>
  <c r="R127" i="3" s="1"/>
  <c r="Q128" i="3"/>
  <c r="R128" i="3" s="1"/>
  <c r="Q129" i="3"/>
  <c r="R129" i="3" s="1"/>
  <c r="Q130" i="3"/>
  <c r="R130" i="3" s="1"/>
  <c r="Q131" i="3"/>
  <c r="R131" i="3" s="1"/>
  <c r="Q132" i="3"/>
  <c r="R132" i="3" s="1"/>
  <c r="Q133" i="3"/>
  <c r="R133" i="3" s="1"/>
  <c r="Q134" i="3"/>
  <c r="R134" i="3" s="1"/>
  <c r="Q135" i="3"/>
  <c r="R135" i="3" s="1"/>
  <c r="Q136" i="3"/>
  <c r="R136" i="3" s="1"/>
  <c r="Q137" i="3"/>
  <c r="R137" i="3" s="1"/>
  <c r="Q138" i="3"/>
  <c r="R138" i="3" s="1"/>
  <c r="Q139" i="3"/>
  <c r="R139" i="3" s="1"/>
  <c r="Q140" i="3"/>
  <c r="R140" i="3" s="1"/>
  <c r="Q141" i="3"/>
  <c r="R141" i="3" s="1"/>
  <c r="Q142" i="3"/>
  <c r="R142" i="3" s="1"/>
  <c r="Q143" i="3"/>
  <c r="R143" i="3" s="1"/>
  <c r="Q144" i="3"/>
  <c r="R144" i="3" s="1"/>
  <c r="Q145" i="3"/>
  <c r="R145" i="3" s="1"/>
  <c r="Q146" i="3"/>
  <c r="R146" i="3" s="1"/>
  <c r="Q147" i="3"/>
  <c r="R147" i="3" s="1"/>
  <c r="Q148" i="3"/>
  <c r="R148" i="3" s="1"/>
  <c r="Q149" i="3"/>
  <c r="R149" i="3" s="1"/>
  <c r="Q150" i="3"/>
  <c r="R150" i="3" s="1"/>
  <c r="Q151" i="3"/>
  <c r="R151" i="3" s="1"/>
  <c r="Q152" i="3"/>
  <c r="R152" i="3" s="1"/>
  <c r="Q153" i="3"/>
  <c r="R153" i="3" s="1"/>
  <c r="Q154" i="3"/>
  <c r="R154" i="3" s="1"/>
  <c r="Q155" i="3"/>
  <c r="R155" i="3" s="1"/>
  <c r="Q156" i="3"/>
  <c r="R156" i="3" s="1"/>
  <c r="Q157" i="3"/>
  <c r="R157" i="3" s="1"/>
  <c r="Q158" i="3"/>
  <c r="R158" i="3" s="1"/>
  <c r="Q159" i="3"/>
  <c r="R159" i="3" s="1"/>
  <c r="Q160" i="3"/>
  <c r="R160" i="3" s="1"/>
  <c r="Q161" i="3"/>
  <c r="R161" i="3" s="1"/>
  <c r="Q162" i="3"/>
  <c r="R162" i="3" s="1"/>
  <c r="Q163" i="3"/>
  <c r="R163" i="3" s="1"/>
  <c r="Q164" i="3"/>
  <c r="R164" i="3" s="1"/>
  <c r="Q165" i="3"/>
  <c r="R165" i="3" s="1"/>
  <c r="Q166" i="3"/>
  <c r="R166" i="3" s="1"/>
  <c r="Q167" i="3"/>
  <c r="R167" i="3" s="1"/>
  <c r="Q168" i="3"/>
  <c r="R168" i="3" s="1"/>
  <c r="Q169" i="3"/>
  <c r="R169" i="3" s="1"/>
  <c r="Q170" i="3"/>
  <c r="R170" i="3" s="1"/>
  <c r="Q171" i="3"/>
  <c r="R171" i="3" s="1"/>
  <c r="Q172" i="3"/>
  <c r="R172" i="3" s="1"/>
  <c r="Q173" i="3"/>
  <c r="R173" i="3" s="1"/>
  <c r="Q174" i="3"/>
  <c r="R174" i="3" s="1"/>
  <c r="Q175" i="3"/>
  <c r="R175" i="3" s="1"/>
  <c r="Q176" i="3"/>
  <c r="R176" i="3" s="1"/>
  <c r="Q177" i="3"/>
  <c r="R177" i="3" s="1"/>
  <c r="Q178" i="3"/>
  <c r="R178" i="3" s="1"/>
  <c r="Q179" i="3"/>
  <c r="R179" i="3" s="1"/>
  <c r="Q180" i="3"/>
  <c r="R180" i="3" s="1"/>
  <c r="Q181" i="3"/>
  <c r="R181" i="3" s="1"/>
  <c r="Q182" i="3"/>
  <c r="R182" i="3" s="1"/>
  <c r="Q183" i="3"/>
  <c r="R183" i="3" s="1"/>
  <c r="Q184" i="3"/>
  <c r="R184" i="3" s="1"/>
  <c r="Q185" i="3"/>
  <c r="R185" i="3" s="1"/>
  <c r="Q186" i="3"/>
  <c r="R186" i="3" s="1"/>
  <c r="Q187" i="3"/>
  <c r="R187" i="3" s="1"/>
  <c r="Q188" i="3"/>
  <c r="R188" i="3" s="1"/>
  <c r="Q189" i="3"/>
  <c r="R189" i="3" s="1"/>
  <c r="Q190" i="3"/>
  <c r="R190" i="3" s="1"/>
  <c r="Q191" i="3"/>
  <c r="R191" i="3" s="1"/>
  <c r="Q192" i="3"/>
  <c r="R192" i="3" s="1"/>
  <c r="Q193" i="3"/>
  <c r="R193" i="3" s="1"/>
  <c r="Q194" i="3"/>
  <c r="R194" i="3" s="1"/>
  <c r="Q195" i="3"/>
  <c r="R195" i="3" s="1"/>
  <c r="Q196" i="3"/>
  <c r="R196" i="3" s="1"/>
  <c r="Q197" i="3"/>
  <c r="R197" i="3" s="1"/>
  <c r="Q198" i="3"/>
  <c r="R198" i="3" s="1"/>
  <c r="Q199" i="3"/>
  <c r="R199" i="3" s="1"/>
  <c r="Q200" i="3"/>
  <c r="R200" i="3" s="1"/>
  <c r="Q201" i="3"/>
  <c r="R201" i="3" s="1"/>
  <c r="Q202" i="3"/>
  <c r="R202" i="3" s="1"/>
  <c r="Q203" i="3"/>
  <c r="R203" i="3" s="1"/>
  <c r="Q204" i="3"/>
  <c r="R204" i="3" s="1"/>
  <c r="Q205" i="3"/>
  <c r="R205" i="3" s="1"/>
  <c r="Q206" i="3"/>
  <c r="R206" i="3" s="1"/>
  <c r="Q207" i="3"/>
  <c r="R207" i="3" s="1"/>
  <c r="Q208" i="3"/>
  <c r="R208" i="3" s="1"/>
  <c r="Q209" i="3"/>
  <c r="R209" i="3" s="1"/>
  <c r="Q210" i="3"/>
  <c r="R210" i="3" s="1"/>
  <c r="Q211" i="3"/>
  <c r="R211" i="3" s="1"/>
  <c r="Q212" i="3"/>
  <c r="R212" i="3" s="1"/>
  <c r="Q213" i="3"/>
  <c r="R213" i="3" s="1"/>
  <c r="Q214" i="3"/>
  <c r="R214" i="3" s="1"/>
  <c r="Q215" i="3"/>
  <c r="R215" i="3" s="1"/>
  <c r="Q216" i="3"/>
  <c r="R216" i="3" s="1"/>
  <c r="Q217" i="3"/>
  <c r="R217" i="3" s="1"/>
  <c r="Q218" i="3"/>
  <c r="R218" i="3" s="1"/>
  <c r="Q219" i="3"/>
  <c r="R219" i="3" s="1"/>
  <c r="Q220" i="3"/>
  <c r="R220" i="3" s="1"/>
  <c r="Q221" i="3"/>
  <c r="R221" i="3" s="1"/>
  <c r="Q222" i="3"/>
  <c r="R222" i="3" s="1"/>
  <c r="Q223" i="3"/>
  <c r="R223" i="3" s="1"/>
  <c r="Q224" i="3"/>
  <c r="R224" i="3" s="1"/>
  <c r="Q225" i="3"/>
  <c r="R225" i="3" s="1"/>
  <c r="P3" i="3"/>
  <c r="O3" i="3" s="1"/>
  <c r="Q3" i="3" s="1"/>
  <c r="R3" i="3" s="1"/>
  <c r="S3" i="3" s="1"/>
  <c r="O4" i="3"/>
  <c r="Q4" i="3" s="1"/>
  <c r="R4" i="3" s="1"/>
  <c r="Q6" i="3"/>
  <c r="R6" i="3" s="1"/>
  <c r="Q7" i="3"/>
  <c r="R7" i="3" s="1"/>
  <c r="Q8" i="3"/>
  <c r="R8" i="3" s="1"/>
  <c r="Q9" i="3"/>
  <c r="R9" i="3" s="1"/>
  <c r="Q10" i="3"/>
  <c r="R10" i="3" s="1"/>
  <c r="Q11" i="3"/>
  <c r="R11" i="3" s="1"/>
  <c r="Q12" i="3"/>
  <c r="R12" i="3" s="1"/>
  <c r="Q13" i="3"/>
  <c r="R13" i="3" s="1"/>
  <c r="Q14" i="3"/>
  <c r="R14" i="3" s="1"/>
  <c r="Q15" i="3"/>
  <c r="R15" i="3" s="1"/>
  <c r="Q16" i="3"/>
  <c r="R16" i="3" s="1"/>
  <c r="Q17" i="3"/>
  <c r="R17" i="3" s="1"/>
  <c r="Q18" i="3"/>
  <c r="R18" i="3" s="1"/>
  <c r="Q19" i="3"/>
  <c r="R19" i="3" s="1"/>
  <c r="P2" i="3"/>
  <c r="O2" i="3" s="1"/>
  <c r="Q2" i="3" s="1"/>
  <c r="R2" i="3" s="1"/>
  <c r="S2" i="3" s="1"/>
  <c r="AA65" i="3" l="1"/>
  <c r="AB93" i="3"/>
  <c r="AA29" i="3"/>
  <c r="AA146" i="3"/>
  <c r="AB26" i="3"/>
  <c r="AB106" i="3"/>
  <c r="AB85" i="3"/>
  <c r="AB53" i="3"/>
  <c r="T183" i="3"/>
  <c r="S183" i="3"/>
  <c r="S23" i="3"/>
  <c r="T23" i="3"/>
  <c r="S9" i="3"/>
  <c r="T9" i="3"/>
  <c r="T191" i="3"/>
  <c r="S191" i="3"/>
  <c r="S135" i="3"/>
  <c r="T135" i="3"/>
  <c r="S127" i="3"/>
  <c r="T127" i="3"/>
  <c r="S87" i="3"/>
  <c r="T87" i="3"/>
  <c r="S39" i="3"/>
  <c r="T39" i="3"/>
  <c r="T16" i="3"/>
  <c r="S16" i="3"/>
  <c r="S8" i="3"/>
  <c r="T8" i="3"/>
  <c r="S222" i="3"/>
  <c r="T222" i="3"/>
  <c r="S214" i="3"/>
  <c r="T214" i="3"/>
  <c r="S206" i="3"/>
  <c r="T206" i="3"/>
  <c r="S198" i="3"/>
  <c r="T198" i="3"/>
  <c r="S190" i="3"/>
  <c r="T190" i="3"/>
  <c r="S182" i="3"/>
  <c r="T182" i="3"/>
  <c r="S174" i="3"/>
  <c r="T174" i="3"/>
  <c r="S166" i="3"/>
  <c r="T166" i="3"/>
  <c r="S158" i="3"/>
  <c r="T158" i="3"/>
  <c r="S150" i="3"/>
  <c r="T150" i="3"/>
  <c r="S142" i="3"/>
  <c r="T142" i="3"/>
  <c r="S134" i="3"/>
  <c r="T134" i="3"/>
  <c r="S126" i="3"/>
  <c r="T126" i="3"/>
  <c r="S118" i="3"/>
  <c r="T118" i="3"/>
  <c r="S110" i="3"/>
  <c r="T110" i="3"/>
  <c r="S102" i="3"/>
  <c r="T102" i="3"/>
  <c r="S94" i="3"/>
  <c r="T94" i="3"/>
  <c r="S86" i="3"/>
  <c r="T86" i="3"/>
  <c r="S78" i="3"/>
  <c r="T78" i="3"/>
  <c r="S70" i="3"/>
  <c r="T70" i="3"/>
  <c r="S62" i="3"/>
  <c r="T62" i="3"/>
  <c r="S54" i="3"/>
  <c r="T54" i="3"/>
  <c r="S46" i="3"/>
  <c r="T46" i="3"/>
  <c r="S38" i="3"/>
  <c r="T38" i="3"/>
  <c r="S30" i="3"/>
  <c r="T30" i="3"/>
  <c r="S22" i="3"/>
  <c r="T22" i="3"/>
  <c r="S223" i="3"/>
  <c r="T223" i="3"/>
  <c r="S159" i="3"/>
  <c r="T159" i="3"/>
  <c r="S55" i="3"/>
  <c r="T55" i="3"/>
  <c r="T221" i="3"/>
  <c r="S221" i="3"/>
  <c r="S189" i="3"/>
  <c r="T189" i="3"/>
  <c r="S157" i="3"/>
  <c r="T157" i="3"/>
  <c r="S125" i="3"/>
  <c r="T125" i="3"/>
  <c r="S101" i="3"/>
  <c r="T101" i="3"/>
  <c r="S77" i="3"/>
  <c r="T77" i="3"/>
  <c r="S61" i="3"/>
  <c r="T61" i="3"/>
  <c r="S45" i="3"/>
  <c r="T45" i="3"/>
  <c r="S29" i="3"/>
  <c r="T29" i="3"/>
  <c r="S215" i="3"/>
  <c r="T215" i="3"/>
  <c r="S167" i="3"/>
  <c r="T167" i="3"/>
  <c r="S119" i="3"/>
  <c r="T119" i="3"/>
  <c r="S79" i="3"/>
  <c r="T79" i="3"/>
  <c r="S31" i="3"/>
  <c r="T31" i="3"/>
  <c r="S205" i="3"/>
  <c r="T205" i="3"/>
  <c r="S173" i="3"/>
  <c r="T173" i="3"/>
  <c r="S141" i="3"/>
  <c r="T141" i="3"/>
  <c r="S117" i="3"/>
  <c r="T117" i="3"/>
  <c r="S93" i="3"/>
  <c r="T93" i="3"/>
  <c r="S85" i="3"/>
  <c r="T85" i="3"/>
  <c r="S69" i="3"/>
  <c r="T69" i="3"/>
  <c r="S53" i="3"/>
  <c r="T53" i="3"/>
  <c r="S37" i="3"/>
  <c r="T37" i="3"/>
  <c r="S21" i="3"/>
  <c r="T21" i="3"/>
  <c r="S14" i="3"/>
  <c r="T14" i="3"/>
  <c r="S220" i="3"/>
  <c r="T220" i="3"/>
  <c r="T212" i="3"/>
  <c r="S212" i="3"/>
  <c r="T204" i="3"/>
  <c r="S204" i="3"/>
  <c r="T196" i="3"/>
  <c r="S196" i="3"/>
  <c r="T188" i="3"/>
  <c r="S188" i="3"/>
  <c r="T180" i="3"/>
  <c r="S180" i="3"/>
  <c r="S172" i="3"/>
  <c r="T172" i="3"/>
  <c r="T164" i="3"/>
  <c r="S164" i="3"/>
  <c r="T156" i="3"/>
  <c r="S156" i="3"/>
  <c r="T148" i="3"/>
  <c r="S148" i="3"/>
  <c r="T140" i="3"/>
  <c r="S140" i="3"/>
  <c r="T132" i="3"/>
  <c r="S132" i="3"/>
  <c r="T124" i="3"/>
  <c r="S124" i="3"/>
  <c r="T116" i="3"/>
  <c r="S116" i="3"/>
  <c r="T108" i="3"/>
  <c r="S108" i="3"/>
  <c r="T100" i="3"/>
  <c r="S100" i="3"/>
  <c r="T92" i="3"/>
  <c r="S92" i="3"/>
  <c r="T84" i="3"/>
  <c r="S84" i="3"/>
  <c r="T76" i="3"/>
  <c r="S76" i="3"/>
  <c r="T68" i="3"/>
  <c r="S68" i="3"/>
  <c r="T60" i="3"/>
  <c r="S60" i="3"/>
  <c r="T52" i="3"/>
  <c r="S52" i="3"/>
  <c r="T44" i="3"/>
  <c r="S44" i="3"/>
  <c r="T36" i="3"/>
  <c r="S36" i="3"/>
  <c r="T28" i="3"/>
  <c r="S28" i="3"/>
  <c r="T20" i="3"/>
  <c r="S20" i="3"/>
  <c r="S17" i="3"/>
  <c r="T17" i="3"/>
  <c r="S95" i="3"/>
  <c r="T95" i="3"/>
  <c r="S15" i="3"/>
  <c r="T15" i="3"/>
  <c r="S197" i="3"/>
  <c r="T197" i="3"/>
  <c r="S165" i="3"/>
  <c r="T165" i="3"/>
  <c r="S133" i="3"/>
  <c r="T133" i="3"/>
  <c r="S13" i="3"/>
  <c r="T13" i="3"/>
  <c r="T211" i="3"/>
  <c r="S211" i="3"/>
  <c r="T195" i="3"/>
  <c r="S195" i="3"/>
  <c r="S179" i="3"/>
  <c r="T179" i="3"/>
  <c r="S155" i="3"/>
  <c r="T155" i="3"/>
  <c r="S139" i="3"/>
  <c r="T139" i="3"/>
  <c r="S115" i="3"/>
  <c r="T115" i="3"/>
  <c r="S99" i="3"/>
  <c r="T99" i="3"/>
  <c r="S83" i="3"/>
  <c r="T83" i="3"/>
  <c r="S51" i="3"/>
  <c r="T51" i="3"/>
  <c r="S207" i="3"/>
  <c r="T207" i="3"/>
  <c r="S151" i="3"/>
  <c r="T151" i="3"/>
  <c r="S103" i="3"/>
  <c r="T103" i="3"/>
  <c r="S47" i="3"/>
  <c r="T47" i="3"/>
  <c r="S213" i="3"/>
  <c r="T213" i="3"/>
  <c r="S181" i="3"/>
  <c r="T181" i="3"/>
  <c r="S149" i="3"/>
  <c r="T149" i="3"/>
  <c r="S109" i="3"/>
  <c r="T109" i="3"/>
  <c r="T219" i="3"/>
  <c r="S219" i="3"/>
  <c r="T203" i="3"/>
  <c r="S203" i="3"/>
  <c r="S187" i="3"/>
  <c r="T187" i="3"/>
  <c r="T171" i="3"/>
  <c r="S171" i="3"/>
  <c r="S163" i="3"/>
  <c r="T163" i="3"/>
  <c r="S147" i="3"/>
  <c r="T147" i="3"/>
  <c r="S131" i="3"/>
  <c r="T131" i="3"/>
  <c r="S123" i="3"/>
  <c r="T123" i="3"/>
  <c r="S107" i="3"/>
  <c r="T107" i="3"/>
  <c r="S91" i="3"/>
  <c r="T91" i="3"/>
  <c r="S75" i="3"/>
  <c r="T75" i="3"/>
  <c r="S67" i="3"/>
  <c r="T67" i="3"/>
  <c r="S59" i="3"/>
  <c r="T59" i="3"/>
  <c r="S43" i="3"/>
  <c r="T43" i="3"/>
  <c r="S35" i="3"/>
  <c r="T35" i="3"/>
  <c r="S27" i="3"/>
  <c r="T27" i="3"/>
  <c r="T12" i="3"/>
  <c r="S12" i="3"/>
  <c r="S218" i="3"/>
  <c r="T218" i="3"/>
  <c r="S210" i="3"/>
  <c r="T210" i="3"/>
  <c r="S202" i="3"/>
  <c r="T202" i="3"/>
  <c r="S194" i="3"/>
  <c r="T194" i="3"/>
  <c r="S186" i="3"/>
  <c r="T186" i="3"/>
  <c r="S178" i="3"/>
  <c r="T178" i="3"/>
  <c r="S170" i="3"/>
  <c r="T170" i="3"/>
  <c r="S162" i="3"/>
  <c r="T162" i="3"/>
  <c r="S154" i="3"/>
  <c r="T154" i="3"/>
  <c r="T146" i="3"/>
  <c r="S146" i="3"/>
  <c r="S138" i="3"/>
  <c r="T138" i="3"/>
  <c r="T130" i="3"/>
  <c r="S130" i="3"/>
  <c r="S122" i="3"/>
  <c r="T122" i="3"/>
  <c r="T114" i="3"/>
  <c r="S114" i="3"/>
  <c r="S106" i="3"/>
  <c r="T106" i="3"/>
  <c r="T98" i="3"/>
  <c r="S98" i="3"/>
  <c r="S90" i="3"/>
  <c r="T90" i="3"/>
  <c r="T82" i="3"/>
  <c r="S82" i="3"/>
  <c r="S74" i="3"/>
  <c r="T74" i="3"/>
  <c r="T66" i="3"/>
  <c r="S66" i="3"/>
  <c r="S58" i="3"/>
  <c r="T58" i="3"/>
  <c r="T50" i="3"/>
  <c r="S50" i="3"/>
  <c r="S42" i="3"/>
  <c r="T42" i="3"/>
  <c r="T34" i="3"/>
  <c r="S34" i="3"/>
  <c r="S26" i="3"/>
  <c r="T26" i="3"/>
  <c r="S175" i="3"/>
  <c r="T175" i="3"/>
  <c r="S71" i="3"/>
  <c r="T71" i="3"/>
  <c r="S19" i="3"/>
  <c r="T19" i="3"/>
  <c r="S225" i="3"/>
  <c r="T225" i="3"/>
  <c r="S209" i="3"/>
  <c r="T209" i="3"/>
  <c r="S185" i="3"/>
  <c r="T185" i="3"/>
  <c r="T169" i="3"/>
  <c r="S169" i="3"/>
  <c r="S145" i="3"/>
  <c r="T145" i="3"/>
  <c r="S113" i="3"/>
  <c r="T113" i="3"/>
  <c r="S33" i="3"/>
  <c r="T33" i="3"/>
  <c r="S199" i="3"/>
  <c r="T199" i="3"/>
  <c r="S143" i="3"/>
  <c r="T143" i="3"/>
  <c r="S111" i="3"/>
  <c r="T111" i="3"/>
  <c r="S63" i="3"/>
  <c r="T63" i="3"/>
  <c r="S11" i="3"/>
  <c r="T11" i="3"/>
  <c r="T217" i="3"/>
  <c r="S217" i="3"/>
  <c r="S201" i="3"/>
  <c r="T201" i="3"/>
  <c r="S193" i="3"/>
  <c r="T193" i="3"/>
  <c r="S177" i="3"/>
  <c r="T177" i="3"/>
  <c r="S161" i="3"/>
  <c r="T161" i="3"/>
  <c r="S153" i="3"/>
  <c r="T153" i="3"/>
  <c r="S137" i="3"/>
  <c r="T137" i="3"/>
  <c r="S129" i="3"/>
  <c r="T129" i="3"/>
  <c r="S121" i="3"/>
  <c r="T121" i="3"/>
  <c r="S105" i="3"/>
  <c r="T105" i="3"/>
  <c r="S97" i="3"/>
  <c r="T97" i="3"/>
  <c r="S89" i="3"/>
  <c r="T89" i="3"/>
  <c r="S81" i="3"/>
  <c r="T81" i="3"/>
  <c r="S73" i="3"/>
  <c r="T73" i="3"/>
  <c r="S65" i="3"/>
  <c r="T65" i="3"/>
  <c r="S57" i="3"/>
  <c r="T57" i="3"/>
  <c r="S49" i="3"/>
  <c r="T49" i="3"/>
  <c r="S41" i="3"/>
  <c r="T41" i="3"/>
  <c r="S25" i="3"/>
  <c r="T25" i="3"/>
  <c r="T18" i="3"/>
  <c r="S18" i="3"/>
  <c r="S10" i="3"/>
  <c r="T10" i="3"/>
  <c r="T224" i="3"/>
  <c r="S224" i="3"/>
  <c r="T216" i="3"/>
  <c r="S216" i="3"/>
  <c r="S208" i="3"/>
  <c r="T208" i="3"/>
  <c r="S200" i="3"/>
  <c r="T200" i="3"/>
  <c r="S192" i="3"/>
  <c r="T192" i="3"/>
  <c r="S184" i="3"/>
  <c r="T184" i="3"/>
  <c r="T176" i="3"/>
  <c r="S176" i="3"/>
  <c r="T168" i="3"/>
  <c r="S168" i="3"/>
  <c r="T160" i="3"/>
  <c r="S160" i="3"/>
  <c r="T152" i="3"/>
  <c r="S152" i="3"/>
  <c r="T144" i="3"/>
  <c r="S144" i="3"/>
  <c r="T136" i="3"/>
  <c r="S136" i="3"/>
  <c r="T128" i="3"/>
  <c r="S128" i="3"/>
  <c r="T120" i="3"/>
  <c r="S120" i="3"/>
  <c r="T112" i="3"/>
  <c r="S112" i="3"/>
  <c r="T104" i="3"/>
  <c r="S104" i="3"/>
  <c r="T96" i="3"/>
  <c r="S96" i="3"/>
  <c r="T88" i="3"/>
  <c r="S88" i="3"/>
  <c r="T80" i="3"/>
  <c r="S80" i="3"/>
  <c r="T72" i="3"/>
  <c r="S72" i="3"/>
  <c r="T64" i="3"/>
  <c r="S64" i="3"/>
  <c r="T56" i="3"/>
  <c r="S56" i="3"/>
  <c r="T48" i="3"/>
  <c r="S48" i="3"/>
  <c r="T40" i="3"/>
  <c r="S40" i="3"/>
  <c r="T32" i="3"/>
  <c r="S32" i="3"/>
  <c r="T24" i="3"/>
  <c r="S24" i="3"/>
  <c r="S6" i="3"/>
  <c r="T6" i="3"/>
  <c r="S4" i="3"/>
  <c r="T4" i="3"/>
  <c r="S7" i="3"/>
  <c r="T7" i="3"/>
  <c r="AB33" i="3"/>
  <c r="AA194" i="3"/>
  <c r="AB27" i="3"/>
  <c r="AA111" i="3"/>
  <c r="AB12" i="3"/>
  <c r="AB44" i="3"/>
  <c r="AB11" i="3"/>
  <c r="AA160" i="3"/>
  <c r="AB178" i="3"/>
  <c r="AB210" i="3"/>
  <c r="AB25" i="3"/>
  <c r="AB21" i="3"/>
  <c r="AB24" i="3"/>
  <c r="AA43" i="3"/>
  <c r="AB87" i="3"/>
  <c r="AA79" i="3"/>
  <c r="AA23" i="3"/>
  <c r="AB78" i="3"/>
  <c r="AA75" i="3"/>
  <c r="AA183" i="3"/>
  <c r="AA69" i="3"/>
  <c r="AB83" i="3"/>
  <c r="AB108" i="3"/>
  <c r="AA13" i="3"/>
  <c r="AA135" i="3"/>
  <c r="AA199" i="3"/>
  <c r="AB9" i="3"/>
  <c r="AB60" i="3"/>
  <c r="AB86" i="3"/>
  <c r="AA32" i="3"/>
  <c r="AB22" i="3"/>
  <c r="AB113" i="3"/>
  <c r="AA122" i="3"/>
  <c r="AB70" i="3"/>
  <c r="AA167" i="3"/>
  <c r="AB37" i="3"/>
  <c r="AB74" i="3"/>
  <c r="AB8" i="3"/>
  <c r="AB89" i="3"/>
  <c r="AA77" i="3"/>
  <c r="AB73" i="3"/>
  <c r="AB63" i="3"/>
  <c r="AB102" i="3"/>
  <c r="AB95" i="3"/>
  <c r="AB10" i="3"/>
  <c r="AB61" i="3"/>
  <c r="AA159" i="3"/>
  <c r="AB208" i="3"/>
  <c r="AB90" i="3"/>
  <c r="AB41" i="3"/>
  <c r="AA109" i="3"/>
  <c r="AB55" i="3"/>
  <c r="AA4" i="3"/>
  <c r="AB30" i="3"/>
  <c r="AA143" i="3"/>
  <c r="AA224" i="3"/>
  <c r="AB42" i="3"/>
  <c r="AA175" i="3"/>
  <c r="AB59" i="3"/>
  <c r="AB104" i="3"/>
  <c r="AA151" i="3"/>
  <c r="AB56" i="3"/>
  <c r="AA31" i="3"/>
  <c r="AA47" i="3"/>
  <c r="AB40" i="3"/>
  <c r="AB76" i="3"/>
  <c r="AB64" i="3"/>
  <c r="AA215" i="3"/>
  <c r="AB192" i="3"/>
  <c r="AB126" i="3"/>
  <c r="AB46" i="3"/>
  <c r="AA207" i="3"/>
  <c r="AB71" i="3"/>
  <c r="AB34" i="3"/>
  <c r="AA82" i="3"/>
  <c r="AB82" i="3"/>
  <c r="AA118" i="3"/>
  <c r="AA223" i="3"/>
  <c r="AB94" i="3"/>
  <c r="AB103" i="3"/>
  <c r="AA62" i="3"/>
  <c r="AB62" i="3"/>
  <c r="AA18" i="3"/>
  <c r="AB18" i="3"/>
  <c r="AA119" i="3"/>
  <c r="AA191" i="3"/>
  <c r="AA134" i="3"/>
  <c r="AB15" i="3"/>
  <c r="T2" i="3" l="1"/>
  <c r="T3" i="3"/>
  <c r="U15" i="2" l="1"/>
  <c r="V15" i="2" s="1"/>
</calcChain>
</file>

<file path=xl/sharedStrings.xml><?xml version="1.0" encoding="utf-8"?>
<sst xmlns="http://schemas.openxmlformats.org/spreadsheetml/2006/main" count="771" uniqueCount="602">
  <si>
    <t>ピン</t>
  </si>
  <si>
    <t>番号</t>
  </si>
  <si>
    <t>電源</t>
  </si>
  <si>
    <t>クロック</t>
  </si>
  <si>
    <t>システム</t>
  </si>
  <si>
    <t>制御</t>
  </si>
  <si>
    <t>I/O</t>
  </si>
  <si>
    <t>100ピン</t>
  </si>
  <si>
    <t>LFQFP</t>
  </si>
  <si>
    <t xml:space="preserve">(MTU, GPTW, TMR, </t>
  </si>
  <si>
    <t>POE, POEG, CAC)</t>
  </si>
  <si>
    <t xml:space="preserve">(SCI, RSPI, RIIC, </t>
  </si>
  <si>
    <t>MTIOC9D#/</t>
  </si>
  <si>
    <t>GTIOC3A/</t>
  </si>
  <si>
    <t>GTETRGB/</t>
  </si>
  <si>
    <t>GTIOC3A#/</t>
  </si>
  <si>
    <t>GTETRGD</t>
  </si>
  <si>
    <t>SCK9/CTS9#/</t>
  </si>
  <si>
    <t>RTS9#/SS9#</t>
  </si>
  <si>
    <t>MTIOC9A#/</t>
  </si>
  <si>
    <t>CACREF</t>
  </si>
  <si>
    <t>RXD9/SMISO9/</t>
  </si>
  <si>
    <t>SSCL9/RXD12/</t>
  </si>
  <si>
    <t>SMISO12/SSCL12/</t>
  </si>
  <si>
    <t>RXDX12</t>
  </si>
  <si>
    <t>COMP0</t>
  </si>
  <si>
    <t>MTIOC9C#/</t>
  </si>
  <si>
    <t>GTETRGA/</t>
  </si>
  <si>
    <t>GTETRGC/</t>
  </si>
  <si>
    <t>GTETRGD/POE12#</t>
  </si>
  <si>
    <t>TXD9/SMOSI9/</t>
  </si>
  <si>
    <t>SSDA9/TXD12/</t>
  </si>
  <si>
    <t>SMOSI12/SSDA12/</t>
  </si>
  <si>
    <t>TXDX12/SIOX12</t>
  </si>
  <si>
    <t>COMP1</t>
  </si>
  <si>
    <t>MTCLKC#/</t>
  </si>
  <si>
    <t>GTETRGD/POE10#</t>
  </si>
  <si>
    <t>MTCLKD#/</t>
  </si>
  <si>
    <t>GTETRGD/POE11#</t>
  </si>
  <si>
    <t>MTIOC9D#/TMO5</t>
  </si>
  <si>
    <t>CTS5#/RTS5#/</t>
  </si>
  <si>
    <t>SS5#/CTS12#/</t>
  </si>
  <si>
    <t>RTS12#/SS12#/</t>
  </si>
  <si>
    <t>SSLA3</t>
  </si>
  <si>
    <t>IRQ15</t>
  </si>
  <si>
    <t>BC1#/</t>
  </si>
  <si>
    <t>WAIT#</t>
  </si>
  <si>
    <t>MTIOC9B/</t>
  </si>
  <si>
    <t>MTIOC9B#/TMCI1/</t>
  </si>
  <si>
    <t>TMCI5</t>
  </si>
  <si>
    <t>RXD5/SMISO5/</t>
  </si>
  <si>
    <t>SSCL5/SSLA2/</t>
  </si>
  <si>
    <t>CRX0</t>
  </si>
  <si>
    <t>IRQ7</t>
  </si>
  <si>
    <t>GTIOC0A/</t>
  </si>
  <si>
    <t>GTIOC0A#/</t>
  </si>
  <si>
    <t>GTIOC3A#/TMRI1/</t>
  </si>
  <si>
    <t>TMRI5</t>
  </si>
  <si>
    <t>TXD5/SMOSI5/</t>
  </si>
  <si>
    <t>SSDA5/SSLA1/</t>
  </si>
  <si>
    <t>CTX0</t>
  </si>
  <si>
    <t>IRQ8</t>
  </si>
  <si>
    <t>ポート</t>
    <phoneticPr fontId="1"/>
  </si>
  <si>
    <t>バス</t>
  </si>
  <si>
    <t>タイマ</t>
  </si>
  <si>
    <t>割り込み</t>
    <phoneticPr fontId="1"/>
  </si>
  <si>
    <t>通信</t>
  </si>
  <si>
    <t>アナログ</t>
    <phoneticPr fontId="1"/>
  </si>
  <si>
    <t>その他</t>
  </si>
  <si>
    <t>CAN)</t>
    <phoneticPr fontId="1"/>
  </si>
  <si>
    <t>(IRQ, NMI)</t>
  </si>
  <si>
    <t>PE5</t>
    <phoneticPr fontId="1"/>
  </si>
  <si>
    <t>BCLK</t>
    <phoneticPr fontId="1"/>
  </si>
  <si>
    <t>MTIOC9D/</t>
  </si>
  <si>
    <t>IRQ0</t>
    <phoneticPr fontId="1"/>
  </si>
  <si>
    <t>ADST0</t>
  </si>
  <si>
    <t>EMLE</t>
  </si>
  <si>
    <t>VSS</t>
  </si>
  <si>
    <t>UB</t>
    <phoneticPr fontId="1"/>
  </si>
  <si>
    <t>P00</t>
    <phoneticPr fontId="1"/>
  </si>
  <si>
    <t>A11</t>
    <phoneticPr fontId="1"/>
  </si>
  <si>
    <t>MTIOC9A/</t>
  </si>
  <si>
    <t>IRQ2</t>
  </si>
  <si>
    <t>IRQ2</t>
    <phoneticPr fontId="1"/>
  </si>
  <si>
    <t>ADST1/</t>
  </si>
  <si>
    <t>VCL</t>
  </si>
  <si>
    <t>MD/FINED</t>
  </si>
  <si>
    <t>P01</t>
    <phoneticPr fontId="1"/>
  </si>
  <si>
    <t>A10</t>
    <phoneticPr fontId="1"/>
  </si>
  <si>
    <t>MTIOC9C/</t>
  </si>
  <si>
    <t>IRQ4</t>
    <phoneticPr fontId="1"/>
  </si>
  <si>
    <t>ADST2/</t>
  </si>
  <si>
    <t>PE4</t>
    <phoneticPr fontId="1"/>
  </si>
  <si>
    <t>A9</t>
    <phoneticPr fontId="1"/>
  </si>
  <si>
    <t>MTCLKC/</t>
  </si>
  <si>
    <t>SCK9</t>
    <phoneticPr fontId="1"/>
  </si>
  <si>
    <t>IRQ1</t>
  </si>
  <si>
    <t>PE3</t>
    <phoneticPr fontId="1"/>
  </si>
  <si>
    <t>A8</t>
    <phoneticPr fontId="1"/>
  </si>
  <si>
    <t>MTCLKD/</t>
  </si>
  <si>
    <t>CTS9#/RTS9#/SS9#</t>
    <phoneticPr fontId="1"/>
  </si>
  <si>
    <t>IRQ2-DS</t>
  </si>
  <si>
    <t>RES#</t>
  </si>
  <si>
    <t>XTAL</t>
    <phoneticPr fontId="1"/>
  </si>
  <si>
    <t>P37</t>
  </si>
  <si>
    <t>EXTAL</t>
    <phoneticPr fontId="1"/>
  </si>
  <si>
    <t>P36</t>
  </si>
  <si>
    <t>VCC</t>
  </si>
  <si>
    <t>PE2</t>
    <phoneticPr fontId="1"/>
  </si>
  <si>
    <t>POE10#</t>
    <phoneticPr fontId="1"/>
  </si>
  <si>
    <t>NMI</t>
  </si>
  <si>
    <t>PE1</t>
    <phoneticPr fontId="1"/>
  </si>
  <si>
    <t>WR0#/WR#</t>
    <phoneticPr fontId="1"/>
  </si>
  <si>
    <t>PE0</t>
    <phoneticPr fontId="1"/>
  </si>
  <si>
    <t>WR1#/</t>
  </si>
  <si>
    <t>TRST#</t>
    <phoneticPr fontId="1"/>
  </si>
  <si>
    <t>PD7</t>
    <phoneticPr fontId="1"/>
  </si>
  <si>
    <t>GTIOC0B/</t>
  </si>
  <si>
    <t>GTIOC3B/</t>
  </si>
  <si>
    <t>GTIOC0B#/</t>
  </si>
  <si>
    <t>GTIOC3B#/TMO1</t>
  </si>
  <si>
    <t>CTS1#/RTS1#/</t>
  </si>
  <si>
    <t>SS1#/CTS11#/</t>
  </si>
  <si>
    <t>RTS11#/SS11#/</t>
  </si>
  <si>
    <t>SSLA0</t>
  </si>
  <si>
    <t>GTIOC1A#/TMRI0/</t>
  </si>
  <si>
    <t>TMRI6</t>
  </si>
  <si>
    <t>RXD1/SMISO1/</t>
  </si>
  <si>
    <t>SSCL1/RXD11/</t>
  </si>
  <si>
    <t>SMISO11/SSCL11</t>
  </si>
  <si>
    <t>IRQ6</t>
  </si>
  <si>
    <t>GTIOC1B#/TMCI0/</t>
  </si>
  <si>
    <t>TMCI6</t>
  </si>
  <si>
    <t>GTIOC2A#/TMO0</t>
  </si>
  <si>
    <t>TXD1/SMOSI1/</t>
  </si>
  <si>
    <t>SSDA1/TXD11/</t>
  </si>
  <si>
    <t>SMOSI11/SSDA11</t>
  </si>
  <si>
    <t>GTIOC2B#/</t>
  </si>
  <si>
    <t>GTIOC0A#/TMCI1/</t>
  </si>
  <si>
    <t>TMO4</t>
  </si>
  <si>
    <t>SCK5/SCK8/MOSIA</t>
  </si>
  <si>
    <t>GTIOC0B#/TMO2</t>
  </si>
  <si>
    <t>RXD8/SMISO8/</t>
  </si>
  <si>
    <t>SSCL8/MISOA</t>
  </si>
  <si>
    <t>GTIOC1A/</t>
  </si>
  <si>
    <t>GTIOC3B#/</t>
  </si>
  <si>
    <t>GTIOC1A#/TMO6</t>
  </si>
  <si>
    <t>TXD8/SMOSI8/</t>
  </si>
  <si>
    <t>SSDA8/RSPCKA</t>
  </si>
  <si>
    <t>GTIOC1B#</t>
  </si>
  <si>
    <t>SCK5/SCK11/</t>
  </si>
  <si>
    <t>SCK12</t>
  </si>
  <si>
    <t>GTIOC2A#</t>
  </si>
  <si>
    <t>SSCL5/RXD11/</t>
  </si>
  <si>
    <t>SMISO11/SSCL11/</t>
  </si>
  <si>
    <t>RXD12/SMISO12/</t>
  </si>
  <si>
    <t>SSCL12/RXDX12/</t>
  </si>
  <si>
    <t>GTIOC2B#</t>
  </si>
  <si>
    <t>SSDA5/TXD11/</t>
  </si>
  <si>
    <t>SMOSI11/SSDA11/</t>
  </si>
  <si>
    <t>TXD12/SMOSI12/</t>
  </si>
  <si>
    <t>SSDA12/TXDX12/</t>
  </si>
  <si>
    <t>SIOX12/CTX0</t>
  </si>
  <si>
    <t>GTETRGD/POE8#</t>
  </si>
  <si>
    <t>SS5#/SCK11/</t>
  </si>
  <si>
    <t>CTS11#/RTS11#/</t>
  </si>
  <si>
    <t>SS11#</t>
  </si>
  <si>
    <t>IRQ3-DS</t>
  </si>
  <si>
    <t>MTIOC0A#/</t>
  </si>
  <si>
    <t>MTIOC0B#/</t>
  </si>
  <si>
    <t>GTADSM0/TMRI0</t>
  </si>
  <si>
    <t>TXD6/SMOSI6/</t>
  </si>
  <si>
    <t>SSDA6/SDA</t>
  </si>
  <si>
    <t>ADSM0</t>
  </si>
  <si>
    <t>TMS</t>
    <phoneticPr fontId="1"/>
  </si>
  <si>
    <t>PD6</t>
    <phoneticPr fontId="1"/>
  </si>
  <si>
    <t>IRQ5</t>
    <phoneticPr fontId="1"/>
  </si>
  <si>
    <t>TDI</t>
    <phoneticPr fontId="1"/>
  </si>
  <si>
    <t>PD5</t>
    <phoneticPr fontId="1"/>
  </si>
  <si>
    <t>TCK</t>
    <phoneticPr fontId="1"/>
  </si>
  <si>
    <t>PD4</t>
    <phoneticPr fontId="1"/>
  </si>
  <si>
    <t>GTIOC1B/</t>
  </si>
  <si>
    <t>SCK1/SCK11</t>
    <phoneticPr fontId="1"/>
  </si>
  <si>
    <t>TDO</t>
    <phoneticPr fontId="1"/>
  </si>
  <si>
    <t>PD3</t>
    <phoneticPr fontId="1"/>
  </si>
  <si>
    <t>GTIOC2A/</t>
  </si>
  <si>
    <t>TRCLK</t>
    <phoneticPr fontId="1"/>
  </si>
  <si>
    <t>PD2</t>
    <phoneticPr fontId="1"/>
  </si>
  <si>
    <t>A7</t>
    <phoneticPr fontId="1"/>
  </si>
  <si>
    <t>GTIOC2B/</t>
  </si>
  <si>
    <t>TRDATA3</t>
    <phoneticPr fontId="1"/>
  </si>
  <si>
    <t>PD1</t>
    <phoneticPr fontId="1"/>
  </si>
  <si>
    <t>A6</t>
    <phoneticPr fontId="1"/>
  </si>
  <si>
    <t>TRDATA2</t>
    <phoneticPr fontId="1"/>
  </si>
  <si>
    <t>PD0</t>
    <phoneticPr fontId="1"/>
  </si>
  <si>
    <t>A5</t>
    <phoneticPr fontId="1"/>
  </si>
  <si>
    <t>TRDATA1</t>
    <phoneticPr fontId="1"/>
  </si>
  <si>
    <t>PB7</t>
    <phoneticPr fontId="1"/>
  </si>
  <si>
    <t>A4</t>
    <phoneticPr fontId="1"/>
  </si>
  <si>
    <t>TRDATA0</t>
    <phoneticPr fontId="1"/>
  </si>
  <si>
    <t>PB6</t>
    <phoneticPr fontId="1"/>
  </si>
  <si>
    <t>A3</t>
    <phoneticPr fontId="1"/>
  </si>
  <si>
    <t>TRSYNC</t>
    <phoneticPr fontId="1"/>
  </si>
  <si>
    <t>PB5</t>
    <phoneticPr fontId="1"/>
  </si>
  <si>
    <t>A2</t>
    <phoneticPr fontId="1"/>
  </si>
  <si>
    <t>PB4</t>
    <phoneticPr fontId="1"/>
  </si>
  <si>
    <t>A1</t>
    <phoneticPr fontId="1"/>
  </si>
  <si>
    <t>PB3</t>
    <phoneticPr fontId="1"/>
  </si>
  <si>
    <t>A7 (注1)</t>
    <phoneticPr fontId="1"/>
  </si>
  <si>
    <t>MTIOC0A/</t>
  </si>
  <si>
    <t>SCK6/RSPCKA</t>
    <phoneticPr fontId="1"/>
  </si>
  <si>
    <t>IRQ9</t>
  </si>
  <si>
    <t>PB2</t>
    <phoneticPr fontId="1"/>
  </si>
  <si>
    <t>A6 (注1)</t>
    <phoneticPr fontId="1"/>
  </si>
  <si>
    <t>MTIOC0B/</t>
  </si>
  <si>
    <t>MTIOC0C#/</t>
  </si>
  <si>
    <t>GTADSM1/TMCI0</t>
  </si>
  <si>
    <t>RXD6/SMISO6/</t>
  </si>
  <si>
    <t>SSCL6/SCL</t>
  </si>
  <si>
    <t>BC0#</t>
  </si>
  <si>
    <t>MTIOC0D/</t>
  </si>
  <si>
    <t>MTIOC0D#/TMO0</t>
  </si>
  <si>
    <t>SSDA6/CTS11#/</t>
  </si>
  <si>
    <t>MOSIA</t>
  </si>
  <si>
    <t>MTIOC1A#/TMCI3</t>
  </si>
  <si>
    <t>SSCL6/RXD8/</t>
  </si>
  <si>
    <t>SMISO8/SSCL8/</t>
  </si>
  <si>
    <t>MISOA</t>
  </si>
  <si>
    <t>MTIOC1B#/TMCI7</t>
  </si>
  <si>
    <t>SCK6/TXD8/</t>
  </si>
  <si>
    <t>SMOSI8/SSDA8/</t>
  </si>
  <si>
    <t>RSPCKA</t>
  </si>
  <si>
    <t>ADTRG0#</t>
  </si>
  <si>
    <t>MTIOC2A#/</t>
  </si>
  <si>
    <t>GTADSM0/TMRI7</t>
  </si>
  <si>
    <t>SSDA9/SCK8/</t>
  </si>
  <si>
    <t>MTIOC2B#/</t>
  </si>
  <si>
    <t>GTADSM1/TMO7</t>
  </si>
  <si>
    <t>CTS6#/RTS6#/</t>
  </si>
  <si>
    <t>SS6#/RXD9/</t>
  </si>
  <si>
    <t>SMISO9/SSCL9/</t>
  </si>
  <si>
    <t>SCK11 (注1)/SSLA1</t>
  </si>
  <si>
    <t>MTIOC6A#/TMO4</t>
  </si>
  <si>
    <t>SSDA9/RXD11/</t>
  </si>
  <si>
    <t>SSLA2/CRX0</t>
  </si>
  <si>
    <t>MTIOC6C#/TMO2</t>
  </si>
  <si>
    <t>SCK9/TXD11/</t>
  </si>
  <si>
    <t>SSLA3/CTX0</t>
  </si>
  <si>
    <t>GTETRGD/POE4#</t>
  </si>
  <si>
    <t>MTIOC6B#/</t>
  </si>
  <si>
    <t>GTIOC4A/</t>
  </si>
  <si>
    <t>GTIOC7A/</t>
  </si>
  <si>
    <t>GTIOC4A#/</t>
  </si>
  <si>
    <t>GTIOC7A#</t>
  </si>
  <si>
    <t>MTIOC7A#/</t>
  </si>
  <si>
    <t>GTIOC5A/</t>
  </si>
  <si>
    <t>GTIOC8A/</t>
  </si>
  <si>
    <t>GTIOC5A#/</t>
  </si>
  <si>
    <t>GTIOC8A#</t>
  </si>
  <si>
    <t>MTIOC7B#/</t>
  </si>
  <si>
    <t>GTIOC6A/</t>
  </si>
  <si>
    <t>GTIOC9A/</t>
  </si>
  <si>
    <t>GTIOC6A#/</t>
  </si>
  <si>
    <t>GTIOC9A#</t>
  </si>
  <si>
    <t>PB1</t>
    <phoneticPr fontId="1"/>
  </si>
  <si>
    <t>A5 (注1)</t>
    <phoneticPr fontId="1"/>
  </si>
  <si>
    <t>MTIOC0C/</t>
  </si>
  <si>
    <t>ADSM1</t>
  </si>
  <si>
    <t>PB0</t>
    <phoneticPr fontId="1"/>
  </si>
  <si>
    <t>A0/A4 (注1)/</t>
  </si>
  <si>
    <t>IRQ8</t>
    <phoneticPr fontId="1"/>
  </si>
  <si>
    <t>ADTRG2#</t>
  </si>
  <si>
    <t>PA5</t>
    <phoneticPr fontId="1"/>
  </si>
  <si>
    <t>A3 (注1)</t>
    <phoneticPr fontId="1"/>
  </si>
  <si>
    <t>MTIOC1A/</t>
  </si>
  <si>
    <t>IRQ1</t>
    <phoneticPr fontId="1"/>
  </si>
  <si>
    <t>ADTRG1#</t>
  </si>
  <si>
    <t>PA4</t>
    <phoneticPr fontId="1"/>
  </si>
  <si>
    <t>A2 (注1)</t>
    <phoneticPr fontId="1"/>
  </si>
  <si>
    <t>MTIOC1B/</t>
  </si>
  <si>
    <t>PA3</t>
    <phoneticPr fontId="1"/>
  </si>
  <si>
    <t>A1 (注1)</t>
    <phoneticPr fontId="1"/>
  </si>
  <si>
    <t>MTIOC2A/</t>
  </si>
  <si>
    <t>PA2</t>
    <phoneticPr fontId="1"/>
  </si>
  <si>
    <t>A0/BC0#</t>
    <phoneticPr fontId="1"/>
  </si>
  <si>
    <t>MTIOC2B/</t>
  </si>
  <si>
    <t>PA1</t>
    <phoneticPr fontId="1"/>
  </si>
  <si>
    <t>MTIOC6A/</t>
  </si>
  <si>
    <t>IRQ14-DS</t>
    <phoneticPr fontId="1"/>
  </si>
  <si>
    <t>PA0</t>
    <phoneticPr fontId="1"/>
  </si>
  <si>
    <t>MTIOC6C/</t>
  </si>
  <si>
    <t>P96</t>
    <phoneticPr fontId="1"/>
  </si>
  <si>
    <t>CS0#/</t>
  </si>
  <si>
    <t>CTS8#/RTS8#/SS8#</t>
    <phoneticPr fontId="1"/>
  </si>
  <si>
    <t>IRQ4-DS</t>
  </si>
  <si>
    <t>P95</t>
    <phoneticPr fontId="1"/>
  </si>
  <si>
    <t>MTIOC6B/</t>
  </si>
  <si>
    <t>P94</t>
    <phoneticPr fontId="1"/>
  </si>
  <si>
    <t>MTIOC7A/</t>
  </si>
  <si>
    <t>P93</t>
    <phoneticPr fontId="1"/>
  </si>
  <si>
    <t>MTIOC7B/</t>
  </si>
  <si>
    <t>MTIOC6D#/</t>
  </si>
  <si>
    <t>GTIOC4B/</t>
  </si>
  <si>
    <t>GTIOC7B/</t>
  </si>
  <si>
    <t>GTIOC4B#/</t>
  </si>
  <si>
    <t>GTIOC7B#</t>
  </si>
  <si>
    <t>MTIOC7C#/</t>
  </si>
  <si>
    <t>GTIOC5B/</t>
  </si>
  <si>
    <t>GTIOC8B/</t>
  </si>
  <si>
    <t>GTIOC5B#/</t>
  </si>
  <si>
    <t>GTIOC8B#</t>
  </si>
  <si>
    <t>MTIOC7D#/</t>
  </si>
  <si>
    <t>GTIOC6B/</t>
  </si>
  <si>
    <t>GTIOC9B/</t>
  </si>
  <si>
    <t>GTIOC6B#/</t>
  </si>
  <si>
    <t>GTIOC9B#</t>
  </si>
  <si>
    <t>MTIOC4D#/</t>
  </si>
  <si>
    <t>GTIOC6B#</t>
  </si>
  <si>
    <t>MTIOC4C#/</t>
  </si>
  <si>
    <t>GTIOC1B#/</t>
  </si>
  <si>
    <t>GTIOC5B#</t>
  </si>
  <si>
    <t>MTIOC3D#/</t>
  </si>
  <si>
    <t>GTIOC4B#</t>
  </si>
  <si>
    <t>MTIOC4B#/</t>
  </si>
  <si>
    <t>GTIOC2A#/</t>
  </si>
  <si>
    <t>GTIOC6A#</t>
  </si>
  <si>
    <t>MTIOC4A#/</t>
  </si>
  <si>
    <t>GTIOC1A#/</t>
  </si>
  <si>
    <t>GTIOC5A#</t>
  </si>
  <si>
    <t>MTIOC3B#/</t>
  </si>
  <si>
    <t>GTIOC4A#</t>
  </si>
  <si>
    <t>GTETRGD/POE0#</t>
  </si>
  <si>
    <t>P92</t>
    <phoneticPr fontId="1"/>
  </si>
  <si>
    <t>MTIOC6D/</t>
  </si>
  <si>
    <t>P91</t>
    <phoneticPr fontId="1"/>
  </si>
  <si>
    <t>MTIOC7C/</t>
  </si>
  <si>
    <t>P90</t>
    <phoneticPr fontId="1"/>
  </si>
  <si>
    <t>MTIOC7D/</t>
  </si>
  <si>
    <t>P76</t>
    <phoneticPr fontId="1"/>
  </si>
  <si>
    <t>D0 [A0/D0]</t>
    <phoneticPr fontId="1"/>
  </si>
  <si>
    <t>MTIOC4D/</t>
  </si>
  <si>
    <t>P75</t>
    <phoneticPr fontId="1"/>
  </si>
  <si>
    <t>D1 [A1/D1]</t>
    <phoneticPr fontId="1"/>
  </si>
  <si>
    <t>MTIOC4C/</t>
  </si>
  <si>
    <t>P74</t>
    <phoneticPr fontId="1"/>
  </si>
  <si>
    <t>D2 [A2/D2]</t>
    <phoneticPr fontId="1"/>
  </si>
  <si>
    <t>MTIOC3D/</t>
  </si>
  <si>
    <t>P73</t>
    <phoneticPr fontId="1"/>
  </si>
  <si>
    <t>D3 [A3/D3]</t>
    <phoneticPr fontId="1"/>
  </si>
  <si>
    <t>MTIOC4B/</t>
  </si>
  <si>
    <t>P72</t>
    <phoneticPr fontId="1"/>
  </si>
  <si>
    <t>D4 [A4/D4]</t>
    <phoneticPr fontId="1"/>
  </si>
  <si>
    <t>MTIOC4A/</t>
  </si>
  <si>
    <t>P71</t>
    <phoneticPr fontId="1"/>
  </si>
  <si>
    <t>D5 [A5/D5]</t>
    <phoneticPr fontId="1"/>
  </si>
  <si>
    <t>MTIOC3B/</t>
  </si>
  <si>
    <t>P70</t>
    <phoneticPr fontId="1"/>
  </si>
  <si>
    <t>D6 [A6/D6]</t>
    <phoneticPr fontId="1"/>
  </si>
  <si>
    <t>IRQ5-DS</t>
  </si>
  <si>
    <t>MTIOC3A#/</t>
  </si>
  <si>
    <t>MTCLKA#/</t>
  </si>
  <si>
    <t>GTIOC3B#/TMO0</t>
  </si>
  <si>
    <t>MTIOC3C#/</t>
  </si>
  <si>
    <t>MTCLKB#/</t>
  </si>
  <si>
    <t>GTIOC3A#/TMO6</t>
  </si>
  <si>
    <t>MTCLKC#/TMRI6</t>
  </si>
  <si>
    <t>D10]</t>
  </si>
  <si>
    <t>MTIOC0B/MTCLKD/</t>
  </si>
  <si>
    <t>MTCLKD#/TMCI6</t>
  </si>
  <si>
    <t>SCK8/CTS8#/</t>
  </si>
  <si>
    <t>RTS8#/SS8#/SSLA0</t>
  </si>
  <si>
    <t>MTIOC1A#/</t>
  </si>
  <si>
    <t>MTIOC0C#/POE9#</t>
  </si>
  <si>
    <t>D11]</t>
  </si>
  <si>
    <t>MTIC5U/MTIC5U#/</t>
  </si>
  <si>
    <t>TMCI2/TMO6</t>
  </si>
  <si>
    <t>CTS8#/RTS8#/</t>
  </si>
  <si>
    <t>SS8#/SCK8/</t>
  </si>
  <si>
    <t>D12]</t>
  </si>
  <si>
    <t>MTIC5V/MTIC5V#/</t>
  </si>
  <si>
    <t>TMO2/CACREF</t>
  </si>
  <si>
    <t>SSDA8/TXD12/</t>
  </si>
  <si>
    <t>TXDX12/SIOX12/</t>
  </si>
  <si>
    <t>MOSIA/CTX0</t>
  </si>
  <si>
    <t>D13]</t>
  </si>
  <si>
    <t>MTIC5W/MTCLKD/</t>
  </si>
  <si>
    <t>MTIC5W#/</t>
  </si>
  <si>
    <t>MTIOC9B/TMRI2/</t>
  </si>
  <si>
    <t>SSCL8/RXD12/</t>
  </si>
  <si>
    <t>RXDX12/MISOA/</t>
  </si>
  <si>
    <t>/COMP2</t>
  </si>
  <si>
    <t>D14]</t>
  </si>
  <si>
    <t>MTIOC9A/MTCLKA/</t>
  </si>
  <si>
    <t>MTCLKA#/TMCI4</t>
  </si>
  <si>
    <t>/COMP5</t>
  </si>
  <si>
    <t>D15]</t>
  </si>
  <si>
    <t>MTIOC9C/MTCLKB/</t>
  </si>
  <si>
    <t>MTCLKB#/TMRI4</t>
  </si>
  <si>
    <t>/COMP4</t>
  </si>
  <si>
    <t>CMPC53/</t>
  </si>
  <si>
    <t>DA1</t>
  </si>
  <si>
    <t>CMPC33/</t>
  </si>
  <si>
    <t>DA0</t>
  </si>
  <si>
    <t>A14</t>
  </si>
  <si>
    <t>CMPC23</t>
  </si>
  <si>
    <t>A15</t>
  </si>
  <si>
    <t>CMPC43</t>
  </si>
  <si>
    <t>P33</t>
    <phoneticPr fontId="1"/>
  </si>
  <si>
    <t>D7 [A7/D7]</t>
    <phoneticPr fontId="1"/>
  </si>
  <si>
    <t>MTIOC3A/MTCLKA/</t>
  </si>
  <si>
    <t>SSLA3</t>
    <phoneticPr fontId="1"/>
  </si>
  <si>
    <t>IRQ13-DS</t>
  </si>
  <si>
    <t>P32</t>
    <phoneticPr fontId="1"/>
  </si>
  <si>
    <t>D8 [A8/D8]</t>
    <phoneticPr fontId="1"/>
  </si>
  <si>
    <t>MTIOC3C/MTCLKB/</t>
  </si>
  <si>
    <t>SSLA2</t>
    <phoneticPr fontId="1"/>
  </si>
  <si>
    <t>IRQ12-DS</t>
  </si>
  <si>
    <t>P31</t>
    <phoneticPr fontId="1"/>
  </si>
  <si>
    <t>D9 [A9/D9]</t>
    <phoneticPr fontId="1"/>
  </si>
  <si>
    <t>MTIOC0A/MTCLKC/</t>
  </si>
  <si>
    <t>SSLA1</t>
    <phoneticPr fontId="1"/>
  </si>
  <si>
    <t>P30</t>
    <phoneticPr fontId="1"/>
  </si>
  <si>
    <t>D10 [A10/</t>
  </si>
  <si>
    <t>IRQ7</t>
    <phoneticPr fontId="1"/>
  </si>
  <si>
    <t>COMP3</t>
  </si>
  <si>
    <t>P27</t>
    <phoneticPr fontId="1"/>
  </si>
  <si>
    <t>CS3# (注1)</t>
    <phoneticPr fontId="1"/>
  </si>
  <si>
    <t>P24</t>
    <phoneticPr fontId="1"/>
  </si>
  <si>
    <t>D11 [A11/</t>
  </si>
  <si>
    <t>P23</t>
    <phoneticPr fontId="1"/>
  </si>
  <si>
    <t>D12 [A12/</t>
  </si>
  <si>
    <t>IRQ11</t>
    <phoneticPr fontId="1"/>
  </si>
  <si>
    <t>P22</t>
    <phoneticPr fontId="1"/>
  </si>
  <si>
    <t>D13 [A13/</t>
  </si>
  <si>
    <t>IRQ10</t>
    <phoneticPr fontId="1"/>
  </si>
  <si>
    <t>P21</t>
    <phoneticPr fontId="1"/>
  </si>
  <si>
    <t>D14 [A14/</t>
  </si>
  <si>
    <t>IRQ6-DS</t>
    <phoneticPr fontId="1"/>
  </si>
  <si>
    <t>AN217</t>
    <phoneticPr fontId="1"/>
  </si>
  <si>
    <t>P20</t>
    <phoneticPr fontId="1"/>
  </si>
  <si>
    <t>D15 [A15/</t>
  </si>
  <si>
    <t>IRQ7-DS</t>
    <phoneticPr fontId="1"/>
  </si>
  <si>
    <t>AN216</t>
    <phoneticPr fontId="1"/>
  </si>
  <si>
    <t>P65</t>
    <phoneticPr fontId="1"/>
  </si>
  <si>
    <t>A12</t>
    <phoneticPr fontId="1"/>
  </si>
  <si>
    <t>IRQ9</t>
    <phoneticPr fontId="1"/>
  </si>
  <si>
    <t>AN211/</t>
  </si>
  <si>
    <t>P64</t>
    <phoneticPr fontId="1"/>
  </si>
  <si>
    <t>A13</t>
    <phoneticPr fontId="1"/>
  </si>
  <si>
    <t>AN210/</t>
  </si>
  <si>
    <t>AVCC2</t>
  </si>
  <si>
    <t>AVSS2</t>
  </si>
  <si>
    <t>P63</t>
    <phoneticPr fontId="1"/>
  </si>
  <si>
    <t>A12 (注1)/</t>
  </si>
  <si>
    <t>AN209/</t>
  </si>
  <si>
    <t>P62</t>
    <phoneticPr fontId="1"/>
  </si>
  <si>
    <t>A13 (注1)/</t>
  </si>
  <si>
    <t>IRQ6</t>
    <phoneticPr fontId="1"/>
  </si>
  <si>
    <t>AN208/</t>
  </si>
  <si>
    <t>A16</t>
  </si>
  <si>
    <t>CMPC13</t>
  </si>
  <si>
    <t>A17</t>
  </si>
  <si>
    <t>CMPC03</t>
  </si>
  <si>
    <t>A18</t>
  </si>
  <si>
    <t>CMPC32</t>
  </si>
  <si>
    <t>A19</t>
  </si>
  <si>
    <t>CMPC22</t>
  </si>
  <si>
    <t>A20</t>
  </si>
  <si>
    <t>CMPC12</t>
  </si>
  <si>
    <t>CMPC02</t>
  </si>
  <si>
    <t>CMPC50/</t>
  </si>
  <si>
    <t>CMPC51</t>
  </si>
  <si>
    <t>CMPC40/</t>
  </si>
  <si>
    <t>CMPC41</t>
  </si>
  <si>
    <t>CMPC30/</t>
  </si>
  <si>
    <t>CMPC31</t>
  </si>
  <si>
    <t>PGAVSS1</t>
  </si>
  <si>
    <t>CMPC20/</t>
  </si>
  <si>
    <t>CMPC21</t>
  </si>
  <si>
    <t>CMPC10/</t>
  </si>
  <si>
    <t>CMPC11</t>
  </si>
  <si>
    <t>CMPC00/</t>
  </si>
  <si>
    <t>CMPC01</t>
  </si>
  <si>
    <t>PGAVSS0</t>
  </si>
  <si>
    <t>TMCI4</t>
  </si>
  <si>
    <t>SSDA6/TXD12/</t>
  </si>
  <si>
    <t>COMP4</t>
  </si>
  <si>
    <t>TMRI4</t>
  </si>
  <si>
    <t>SSCL6/RXD12/</t>
  </si>
  <si>
    <t>P61</t>
    <phoneticPr fontId="1"/>
  </si>
  <si>
    <t>A14 (注1)/</t>
  </si>
  <si>
    <t>AN207/</t>
  </si>
  <si>
    <t>P60</t>
    <phoneticPr fontId="1"/>
  </si>
  <si>
    <t>A15 (注1)/</t>
  </si>
  <si>
    <t>AN206/</t>
  </si>
  <si>
    <t>P55</t>
    <phoneticPr fontId="1"/>
  </si>
  <si>
    <t>A16 (注1)/</t>
  </si>
  <si>
    <t>IRQ3</t>
    <phoneticPr fontId="1"/>
  </si>
  <si>
    <t>AN203/</t>
  </si>
  <si>
    <t>P54</t>
    <phoneticPr fontId="1"/>
  </si>
  <si>
    <t>A17 (注1)/</t>
  </si>
  <si>
    <t>AN202/</t>
  </si>
  <si>
    <t>P53</t>
    <phoneticPr fontId="1"/>
  </si>
  <si>
    <t>A18 (注1)/</t>
  </si>
  <si>
    <t>AN201/</t>
  </si>
  <si>
    <t>P52</t>
    <phoneticPr fontId="1"/>
  </si>
  <si>
    <t>AN200/</t>
  </si>
  <si>
    <t>P47</t>
    <phoneticPr fontId="1"/>
  </si>
  <si>
    <t>AN103</t>
  </si>
  <si>
    <t>P46</t>
    <phoneticPr fontId="1"/>
  </si>
  <si>
    <t>AN102/</t>
  </si>
  <si>
    <t>P45</t>
    <phoneticPr fontId="1"/>
  </si>
  <si>
    <t>AN101/</t>
  </si>
  <si>
    <t>P44</t>
    <phoneticPr fontId="1"/>
  </si>
  <si>
    <t>AN100/</t>
  </si>
  <si>
    <t>PH4</t>
    <phoneticPr fontId="1"/>
  </si>
  <si>
    <t>AN107/</t>
  </si>
  <si>
    <t>P43</t>
    <phoneticPr fontId="1"/>
  </si>
  <si>
    <t>AN003</t>
  </si>
  <si>
    <t>P42</t>
    <phoneticPr fontId="1"/>
  </si>
  <si>
    <t>AN002/</t>
  </si>
  <si>
    <t>P41</t>
    <phoneticPr fontId="1"/>
  </si>
  <si>
    <t>AN001/</t>
  </si>
  <si>
    <t>P40</t>
    <phoneticPr fontId="1"/>
  </si>
  <si>
    <t>AN000/</t>
  </si>
  <si>
    <t>PH0</t>
    <phoneticPr fontId="1"/>
  </si>
  <si>
    <t>AN007/</t>
  </si>
  <si>
    <t>AVCC1</t>
  </si>
  <si>
    <t>AVCC0</t>
  </si>
  <si>
    <t>AVSS0</t>
  </si>
  <si>
    <t>AVSS1</t>
  </si>
  <si>
    <t>P82</t>
    <phoneticPr fontId="1"/>
  </si>
  <si>
    <t>ALE/WAIT#</t>
    <phoneticPr fontId="1"/>
  </si>
  <si>
    <t>SCK6/SCK12</t>
    <phoneticPr fontId="1"/>
  </si>
  <si>
    <t>COMP5</t>
  </si>
  <si>
    <t>P81</t>
    <phoneticPr fontId="1"/>
  </si>
  <si>
    <t>CS2#</t>
    <phoneticPr fontId="1"/>
  </si>
  <si>
    <t>P80</t>
    <phoneticPr fontId="1"/>
  </si>
  <si>
    <t>CS1#</t>
    <phoneticPr fontId="1"/>
  </si>
  <si>
    <t>MTIC5W/MTIC5W#/</t>
  </si>
  <si>
    <t>GTETRGC/TMO3/</t>
  </si>
  <si>
    <t>POE9#</t>
  </si>
  <si>
    <t>IRQ1-DS</t>
  </si>
  <si>
    <t>MTIOC9B#/</t>
  </si>
  <si>
    <t>GTETRGD/TMRI3/</t>
  </si>
  <si>
    <t>POE12#</t>
  </si>
  <si>
    <t>P11</t>
    <phoneticPr fontId="1"/>
  </si>
  <si>
    <t>RD#</t>
    <phoneticPr fontId="1"/>
  </si>
  <si>
    <t>MTIOC3A/MTCLKC/</t>
  </si>
  <si>
    <t>P10</t>
    <phoneticPr fontId="1"/>
  </si>
  <si>
    <t>MTIOC9B/MTCLKD/</t>
  </si>
  <si>
    <t>CTS6#/RTS6#/SS6#</t>
    <phoneticPr fontId="1"/>
  </si>
  <si>
    <t>IRQ0-DS</t>
  </si>
  <si>
    <t>T</t>
    <phoneticPr fontId="1"/>
  </si>
  <si>
    <t>F</t>
    <phoneticPr fontId="1"/>
  </si>
  <si>
    <t>S</t>
    <phoneticPr fontId="1"/>
  </si>
  <si>
    <t>R</t>
    <phoneticPr fontId="1"/>
  </si>
  <si>
    <t>A</t>
    <phoneticPr fontId="1"/>
  </si>
  <si>
    <t>P</t>
    <phoneticPr fontId="1"/>
  </si>
  <si>
    <t>C</t>
    <phoneticPr fontId="1"/>
  </si>
  <si>
    <t>0x0d</t>
    <phoneticPr fontId="1"/>
  </si>
  <si>
    <t>モータ1 加速時間[ms]</t>
    <rPh sb="5" eb="7">
      <t>カソク</t>
    </rPh>
    <rPh sb="7" eb="9">
      <t>ジカン</t>
    </rPh>
    <phoneticPr fontId="1"/>
  </si>
  <si>
    <t>モータ1 初期値[Hz]</t>
    <rPh sb="5" eb="8">
      <t>ショキチ</t>
    </rPh>
    <phoneticPr fontId="1"/>
  </si>
  <si>
    <t>モータ1 目標回転数[Hz]</t>
    <rPh sb="5" eb="7">
      <t>モクヒョウ</t>
    </rPh>
    <rPh sb="7" eb="10">
      <t>カイテンスウ</t>
    </rPh>
    <phoneticPr fontId="1"/>
  </si>
  <si>
    <t>モータ1 運転時間[ms]</t>
    <rPh sb="5" eb="7">
      <t>ウンテン</t>
    </rPh>
    <rPh sb="7" eb="9">
      <t>ジカン</t>
    </rPh>
    <phoneticPr fontId="1"/>
  </si>
  <si>
    <t>モータ1 運転回数[N]</t>
    <rPh sb="5" eb="7">
      <t>ウンテン</t>
    </rPh>
    <rPh sb="7" eb="9">
      <t>カイスウ</t>
    </rPh>
    <phoneticPr fontId="1"/>
  </si>
  <si>
    <t>モータ1 停止時間[ms]</t>
    <rPh sb="5" eb="7">
      <t>テイシ</t>
    </rPh>
    <rPh sb="7" eb="9">
      <t>ジカン</t>
    </rPh>
    <phoneticPr fontId="1"/>
  </si>
  <si>
    <t>O</t>
    <phoneticPr fontId="1"/>
  </si>
  <si>
    <t>f = (TF - SF)/SR * now + SF</t>
    <phoneticPr fontId="1"/>
  </si>
  <si>
    <t>モータ1 運転開始</t>
    <rPh sb="5" eb="7">
      <t>ウンテン</t>
    </rPh>
    <rPh sb="7" eb="9">
      <t>カイシ</t>
    </rPh>
    <phoneticPr fontId="1"/>
  </si>
  <si>
    <t>モータ1 運転停止</t>
    <rPh sb="5" eb="7">
      <t>ウンテン</t>
    </rPh>
    <rPh sb="7" eb="9">
      <t>テイシ</t>
    </rPh>
    <phoneticPr fontId="1"/>
  </si>
  <si>
    <t>T = 1/((TF-SF)/SR*now + SF)</t>
    <phoneticPr fontId="1"/>
  </si>
  <si>
    <t>COM</t>
    <phoneticPr fontId="1"/>
  </si>
  <si>
    <t>モータ2 加速時間[ms]</t>
    <rPh sb="5" eb="7">
      <t>カソク</t>
    </rPh>
    <rPh sb="7" eb="9">
      <t>ジカン</t>
    </rPh>
    <phoneticPr fontId="1"/>
  </si>
  <si>
    <t>モータ2 運転時間[ms]</t>
    <rPh sb="5" eb="7">
      <t>ウンテン</t>
    </rPh>
    <rPh sb="7" eb="9">
      <t>ジカン</t>
    </rPh>
    <phoneticPr fontId="1"/>
  </si>
  <si>
    <t>モータ2 停止時間[ms]</t>
    <rPh sb="5" eb="7">
      <t>テイシ</t>
    </rPh>
    <rPh sb="7" eb="9">
      <t>ジカン</t>
    </rPh>
    <phoneticPr fontId="1"/>
  </si>
  <si>
    <t>モータ2 運転回数[N]</t>
    <rPh sb="5" eb="7">
      <t>ウンテン</t>
    </rPh>
    <rPh sb="7" eb="9">
      <t>カイスウ</t>
    </rPh>
    <phoneticPr fontId="1"/>
  </si>
  <si>
    <t>運転時間 = 0 で連続運転</t>
    <rPh sb="0" eb="2">
      <t>ウンテン</t>
    </rPh>
    <rPh sb="2" eb="4">
      <t>ジカン</t>
    </rPh>
    <rPh sb="10" eb="12">
      <t>レンゾク</t>
    </rPh>
    <rPh sb="12" eb="14">
      <t>ウンテン</t>
    </rPh>
    <phoneticPr fontId="1"/>
  </si>
  <si>
    <t>運転回数 = 0 で65,5536回運転</t>
    <rPh sb="0" eb="2">
      <t>ウンテン</t>
    </rPh>
    <rPh sb="2" eb="4">
      <t>カイスウ</t>
    </rPh>
    <rPh sb="17" eb="18">
      <t>カイ</t>
    </rPh>
    <rPh sb="18" eb="20">
      <t>ウンテン</t>
    </rPh>
    <phoneticPr fontId="1"/>
  </si>
  <si>
    <t>時間は10ms単位で入力</t>
    <rPh sb="0" eb="2">
      <t>ジカン</t>
    </rPh>
    <rPh sb="7" eb="9">
      <t>タンイ</t>
    </rPh>
    <rPh sb="10" eb="12">
      <t>ニュウリョク</t>
    </rPh>
    <phoneticPr fontId="1"/>
  </si>
  <si>
    <t>(10ms未満は切り捨て)</t>
    <rPh sb="5" eb="7">
      <t>ミマン</t>
    </rPh>
    <rPh sb="8" eb="9">
      <t>キ</t>
    </rPh>
    <rPh sb="10" eb="11">
      <t>ス</t>
    </rPh>
    <phoneticPr fontId="1"/>
  </si>
  <si>
    <t>1/8</t>
  </si>
  <si>
    <t>1/8</t>
    <phoneticPr fontId="1"/>
  </si>
  <si>
    <t>1/4</t>
    <phoneticPr fontId="1"/>
  </si>
  <si>
    <t>1/16</t>
    <phoneticPr fontId="1"/>
  </si>
  <si>
    <t>1/32</t>
    <phoneticPr fontId="1"/>
  </si>
  <si>
    <t>10-99990</t>
  </si>
  <si>
    <t>0-65535</t>
    <phoneticPr fontId="1"/>
  </si>
  <si>
    <t>ドライバ設定</t>
    <rPh sb="4" eb="6">
      <t>セッテイ</t>
    </rPh>
    <phoneticPr fontId="1"/>
  </si>
  <si>
    <t>設定範囲</t>
    <rPh sb="0" eb="2">
      <t>セッテイ</t>
    </rPh>
    <rPh sb="2" eb="4">
      <t>ハンイ</t>
    </rPh>
    <phoneticPr fontId="1"/>
  </si>
  <si>
    <t>リスト</t>
    <phoneticPr fontId="1"/>
  </si>
  <si>
    <t>モータ1 目標回転数[rpm]</t>
    <rPh sb="5" eb="7">
      <t>モクヒョウ</t>
    </rPh>
    <rPh sb="7" eb="10">
      <t>カイテンスウ</t>
    </rPh>
    <phoneticPr fontId="1"/>
  </si>
  <si>
    <t>モータ1 初期値[rpm]</t>
    <rPh sb="5" eb="8">
      <t>ショキチ</t>
    </rPh>
    <phoneticPr fontId="1"/>
  </si>
  <si>
    <t>モータ2 目標回転数[rpm]</t>
    <rPh sb="5" eb="7">
      <t>モクヒョウ</t>
    </rPh>
    <rPh sb="7" eb="10">
      <t>カイテンスウ</t>
    </rPh>
    <phoneticPr fontId="1"/>
  </si>
  <si>
    <t>モータ2 初期値[rpm]</t>
    <rPh sb="5" eb="8">
      <t>ショキチ</t>
    </rPh>
    <phoneticPr fontId="1"/>
  </si>
  <si>
    <t>USB シリアル デバイス (COM8)</t>
  </si>
  <si>
    <t>a</t>
    <phoneticPr fontId="1"/>
  </si>
  <si>
    <t>M</t>
    <phoneticPr fontId="1"/>
  </si>
  <si>
    <t>(</t>
    <phoneticPr fontId="1"/>
  </si>
  <si>
    <t>)</t>
    <phoneticPr fontId="1"/>
  </si>
  <si>
    <t>Intel(R) Active Management Technology - SOL (COM3)</t>
  </si>
  <si>
    <t>USB シリアル デバイス (COM8)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</si>
</sst>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0_ 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0" fillId="2" borderId="0" xfId="0" applyFill="1"/>
    <xf numFmtId="176" fontId="0" fillId="0" borderId="0" xfId="0" applyNumberFormat="1"/>
    <xf numFmtId="177" fontId="0" fillId="0" borderId="0" xfId="0" applyNumberFormat="1"/>
    <xf numFmtId="0" fontId="0" fillId="3" borderId="0" xfId="0" applyFill="1"/>
    <xf numFmtId="0" fontId="0" fillId="0" borderId="0" xfId="0" applyFill="1"/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通信マクロ!$P$2:$P$397</c:f>
              <c:numCache>
                <c:formatCode>General</c:formatCode>
                <c:ptCount val="39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</c:numCache>
            </c:numRef>
          </c:cat>
          <c:val>
            <c:numRef>
              <c:f>通信マクロ!$Q$2:$Q$397</c:f>
              <c:numCache>
                <c:formatCode>General</c:formatCode>
                <c:ptCount val="396"/>
                <c:pt idx="0">
                  <c:v>5</c:v>
                </c:pt>
                <c:pt idx="1">
                  <c:v>12.8</c:v>
                </c:pt>
                <c:pt idx="2">
                  <c:v>20.6</c:v>
                </c:pt>
                <c:pt idx="3">
                  <c:v>28.4</c:v>
                </c:pt>
                <c:pt idx="4">
                  <c:v>36.200000000000003</c:v>
                </c:pt>
                <c:pt idx="5">
                  <c:v>44</c:v>
                </c:pt>
                <c:pt idx="6">
                  <c:v>51.8</c:v>
                </c:pt>
                <c:pt idx="7">
                  <c:v>59.600000000000009</c:v>
                </c:pt>
                <c:pt idx="8">
                  <c:v>67.400000000000006</c:v>
                </c:pt>
                <c:pt idx="9">
                  <c:v>75.2</c:v>
                </c:pt>
                <c:pt idx="10">
                  <c:v>83</c:v>
                </c:pt>
                <c:pt idx="11">
                  <c:v>90.8</c:v>
                </c:pt>
                <c:pt idx="12">
                  <c:v>98.6</c:v>
                </c:pt>
                <c:pt idx="13">
                  <c:v>106.4</c:v>
                </c:pt>
                <c:pt idx="14">
                  <c:v>114.20000000000002</c:v>
                </c:pt>
                <c:pt idx="15">
                  <c:v>122</c:v>
                </c:pt>
                <c:pt idx="16">
                  <c:v>129.80000000000001</c:v>
                </c:pt>
                <c:pt idx="17">
                  <c:v>137.60000000000002</c:v>
                </c:pt>
                <c:pt idx="18">
                  <c:v>145.4</c:v>
                </c:pt>
                <c:pt idx="19">
                  <c:v>153.19999999999999</c:v>
                </c:pt>
                <c:pt idx="20">
                  <c:v>161</c:v>
                </c:pt>
                <c:pt idx="21">
                  <c:v>168.79999999999998</c:v>
                </c:pt>
                <c:pt idx="22">
                  <c:v>176.6</c:v>
                </c:pt>
                <c:pt idx="23">
                  <c:v>184.4</c:v>
                </c:pt>
                <c:pt idx="24">
                  <c:v>192.2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192.2</c:v>
                </c:pt>
                <c:pt idx="127">
                  <c:v>184.4</c:v>
                </c:pt>
                <c:pt idx="128">
                  <c:v>176.6</c:v>
                </c:pt>
                <c:pt idx="129">
                  <c:v>168.79999999999998</c:v>
                </c:pt>
                <c:pt idx="130">
                  <c:v>161</c:v>
                </c:pt>
                <c:pt idx="131">
                  <c:v>153.19999999999999</c:v>
                </c:pt>
                <c:pt idx="132">
                  <c:v>145.4</c:v>
                </c:pt>
                <c:pt idx="133">
                  <c:v>137.60000000000002</c:v>
                </c:pt>
                <c:pt idx="134">
                  <c:v>129.80000000000001</c:v>
                </c:pt>
                <c:pt idx="135">
                  <c:v>122</c:v>
                </c:pt>
                <c:pt idx="136">
                  <c:v>114.20000000000002</c:v>
                </c:pt>
                <c:pt idx="137">
                  <c:v>106.4</c:v>
                </c:pt>
                <c:pt idx="138">
                  <c:v>98.6</c:v>
                </c:pt>
                <c:pt idx="139">
                  <c:v>90.8</c:v>
                </c:pt>
                <c:pt idx="140">
                  <c:v>83</c:v>
                </c:pt>
                <c:pt idx="141">
                  <c:v>75.2</c:v>
                </c:pt>
                <c:pt idx="142">
                  <c:v>67.400000000000006</c:v>
                </c:pt>
                <c:pt idx="143">
                  <c:v>59.600000000000009</c:v>
                </c:pt>
                <c:pt idx="144">
                  <c:v>51.8</c:v>
                </c:pt>
                <c:pt idx="145">
                  <c:v>44</c:v>
                </c:pt>
                <c:pt idx="146">
                  <c:v>36.200000000000003</c:v>
                </c:pt>
                <c:pt idx="147">
                  <c:v>28.4</c:v>
                </c:pt>
                <c:pt idx="148">
                  <c:v>20.6</c:v>
                </c:pt>
                <c:pt idx="149">
                  <c:v>12.8</c:v>
                </c:pt>
                <c:pt idx="150">
                  <c:v>5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5</c:v>
                </c:pt>
                <c:pt idx="201">
                  <c:v>12.8</c:v>
                </c:pt>
                <c:pt idx="202">
                  <c:v>20.6</c:v>
                </c:pt>
                <c:pt idx="203">
                  <c:v>28.4</c:v>
                </c:pt>
                <c:pt idx="204">
                  <c:v>36.200000000000003</c:v>
                </c:pt>
                <c:pt idx="205">
                  <c:v>44</c:v>
                </c:pt>
                <c:pt idx="206">
                  <c:v>51.8</c:v>
                </c:pt>
                <c:pt idx="207">
                  <c:v>59.600000000000009</c:v>
                </c:pt>
                <c:pt idx="208">
                  <c:v>67.400000000000006</c:v>
                </c:pt>
                <c:pt idx="209">
                  <c:v>75.2</c:v>
                </c:pt>
                <c:pt idx="210">
                  <c:v>83</c:v>
                </c:pt>
                <c:pt idx="211">
                  <c:v>90.8</c:v>
                </c:pt>
                <c:pt idx="212">
                  <c:v>98.6</c:v>
                </c:pt>
                <c:pt idx="213">
                  <c:v>106.4</c:v>
                </c:pt>
                <c:pt idx="214">
                  <c:v>114.20000000000002</c:v>
                </c:pt>
                <c:pt idx="215">
                  <c:v>122</c:v>
                </c:pt>
                <c:pt idx="216">
                  <c:v>129.80000000000001</c:v>
                </c:pt>
                <c:pt idx="217">
                  <c:v>137.60000000000002</c:v>
                </c:pt>
                <c:pt idx="218">
                  <c:v>145.4</c:v>
                </c:pt>
                <c:pt idx="219">
                  <c:v>153.19999999999999</c:v>
                </c:pt>
                <c:pt idx="220">
                  <c:v>161</c:v>
                </c:pt>
                <c:pt idx="221">
                  <c:v>168.79999999999998</c:v>
                </c:pt>
                <c:pt idx="222">
                  <c:v>176.6</c:v>
                </c:pt>
                <c:pt idx="223">
                  <c:v>184.4</c:v>
                </c:pt>
                <c:pt idx="224">
                  <c:v>192.2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192.2</c:v>
                </c:pt>
                <c:pt idx="327">
                  <c:v>184.4</c:v>
                </c:pt>
                <c:pt idx="328">
                  <c:v>176.6</c:v>
                </c:pt>
                <c:pt idx="329">
                  <c:v>168.79999999999998</c:v>
                </c:pt>
                <c:pt idx="330">
                  <c:v>161</c:v>
                </c:pt>
                <c:pt idx="331">
                  <c:v>153.19999999999999</c:v>
                </c:pt>
                <c:pt idx="332">
                  <c:v>145.4</c:v>
                </c:pt>
                <c:pt idx="333">
                  <c:v>137.60000000000002</c:v>
                </c:pt>
                <c:pt idx="334">
                  <c:v>129.80000000000001</c:v>
                </c:pt>
                <c:pt idx="335">
                  <c:v>122</c:v>
                </c:pt>
                <c:pt idx="336">
                  <c:v>114.20000000000002</c:v>
                </c:pt>
                <c:pt idx="337">
                  <c:v>106.4</c:v>
                </c:pt>
                <c:pt idx="338">
                  <c:v>98.6</c:v>
                </c:pt>
                <c:pt idx="339">
                  <c:v>90.8</c:v>
                </c:pt>
                <c:pt idx="340">
                  <c:v>83</c:v>
                </c:pt>
                <c:pt idx="341">
                  <c:v>75.2</c:v>
                </c:pt>
                <c:pt idx="342">
                  <c:v>67.400000000000006</c:v>
                </c:pt>
                <c:pt idx="343">
                  <c:v>59.600000000000009</c:v>
                </c:pt>
                <c:pt idx="344">
                  <c:v>51.8</c:v>
                </c:pt>
                <c:pt idx="345">
                  <c:v>44</c:v>
                </c:pt>
                <c:pt idx="346">
                  <c:v>36.200000000000003</c:v>
                </c:pt>
                <c:pt idx="347">
                  <c:v>28.4</c:v>
                </c:pt>
                <c:pt idx="348">
                  <c:v>20.6</c:v>
                </c:pt>
                <c:pt idx="349">
                  <c:v>12.8</c:v>
                </c:pt>
                <c:pt idx="350">
                  <c:v>5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F-4C0A-92EF-F5C048FDE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98212920"/>
        <c:axId val="598208328"/>
      </c:barChart>
      <c:catAx>
        <c:axId val="598212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8208328"/>
        <c:crosses val="autoZero"/>
        <c:auto val="1"/>
        <c:lblAlgn val="ctr"/>
        <c:lblOffset val="100"/>
        <c:noMultiLvlLbl val="0"/>
      </c:catAx>
      <c:valAx>
        <c:axId val="59820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821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通信マクロ!$X$2:$X$397</c:f>
              <c:numCache>
                <c:formatCode>General</c:formatCode>
                <c:ptCount val="39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</c:numCache>
            </c:numRef>
          </c:cat>
          <c:val>
            <c:numRef>
              <c:f>通信マクロ!$Y$2:$Y$397</c:f>
              <c:numCache>
                <c:formatCode>General</c:formatCode>
                <c:ptCount val="396"/>
                <c:pt idx="0">
                  <c:v>5</c:v>
                </c:pt>
                <c:pt idx="1">
                  <c:v>6.833333333333333</c:v>
                </c:pt>
                <c:pt idx="2">
                  <c:v>8.6666666666666661</c:v>
                </c:pt>
                <c:pt idx="3">
                  <c:v>10.5</c:v>
                </c:pt>
                <c:pt idx="4">
                  <c:v>12.333333333333332</c:v>
                </c:pt>
                <c:pt idx="5">
                  <c:v>14.166666666666666</c:v>
                </c:pt>
                <c:pt idx="6">
                  <c:v>16</c:v>
                </c:pt>
                <c:pt idx="7">
                  <c:v>17.833333333333336</c:v>
                </c:pt>
                <c:pt idx="8">
                  <c:v>19.666666666666664</c:v>
                </c:pt>
                <c:pt idx="9">
                  <c:v>21.5</c:v>
                </c:pt>
                <c:pt idx="10">
                  <c:v>23.333333333333332</c:v>
                </c:pt>
                <c:pt idx="11">
                  <c:v>25.166666666666664</c:v>
                </c:pt>
                <c:pt idx="12">
                  <c:v>27</c:v>
                </c:pt>
                <c:pt idx="13">
                  <c:v>28.833333333333336</c:v>
                </c:pt>
                <c:pt idx="14">
                  <c:v>30.666666666666668</c:v>
                </c:pt>
                <c:pt idx="15">
                  <c:v>32.5</c:v>
                </c:pt>
                <c:pt idx="16">
                  <c:v>34.333333333333329</c:v>
                </c:pt>
                <c:pt idx="17">
                  <c:v>36.166666666666664</c:v>
                </c:pt>
                <c:pt idx="18">
                  <c:v>38</c:v>
                </c:pt>
                <c:pt idx="19">
                  <c:v>39.833333333333329</c:v>
                </c:pt>
                <c:pt idx="20">
                  <c:v>41.666666666666664</c:v>
                </c:pt>
                <c:pt idx="21">
                  <c:v>43.5</c:v>
                </c:pt>
                <c:pt idx="22">
                  <c:v>45.333333333333329</c:v>
                </c:pt>
                <c:pt idx="23">
                  <c:v>47.166666666666671</c:v>
                </c:pt>
                <c:pt idx="24">
                  <c:v>49</c:v>
                </c:pt>
                <c:pt idx="25">
                  <c:v>50.833333333333336</c:v>
                </c:pt>
                <c:pt idx="26">
                  <c:v>52.666666666666671</c:v>
                </c:pt>
                <c:pt idx="27">
                  <c:v>54.5</c:v>
                </c:pt>
                <c:pt idx="28">
                  <c:v>56.333333333333336</c:v>
                </c:pt>
                <c:pt idx="29">
                  <c:v>58.166666666666664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58.166666666666664</c:v>
                </c:pt>
                <c:pt idx="172">
                  <c:v>56.333333333333336</c:v>
                </c:pt>
                <c:pt idx="173">
                  <c:v>54.5</c:v>
                </c:pt>
                <c:pt idx="174">
                  <c:v>52.666666666666671</c:v>
                </c:pt>
                <c:pt idx="175">
                  <c:v>50.833333333333336</c:v>
                </c:pt>
                <c:pt idx="176">
                  <c:v>49</c:v>
                </c:pt>
                <c:pt idx="177">
                  <c:v>47.166666666666671</c:v>
                </c:pt>
                <c:pt idx="178">
                  <c:v>45.333333333333329</c:v>
                </c:pt>
                <c:pt idx="179">
                  <c:v>43.5</c:v>
                </c:pt>
                <c:pt idx="180">
                  <c:v>41.666666666666664</c:v>
                </c:pt>
                <c:pt idx="181">
                  <c:v>39.833333333333329</c:v>
                </c:pt>
                <c:pt idx="182">
                  <c:v>38</c:v>
                </c:pt>
                <c:pt idx="183">
                  <c:v>36.166666666666664</c:v>
                </c:pt>
                <c:pt idx="184">
                  <c:v>34.333333333333329</c:v>
                </c:pt>
                <c:pt idx="185">
                  <c:v>32.5</c:v>
                </c:pt>
                <c:pt idx="186">
                  <c:v>30.666666666666668</c:v>
                </c:pt>
                <c:pt idx="187">
                  <c:v>28.833333333333336</c:v>
                </c:pt>
                <c:pt idx="188">
                  <c:v>27</c:v>
                </c:pt>
                <c:pt idx="189">
                  <c:v>25.166666666666664</c:v>
                </c:pt>
                <c:pt idx="190">
                  <c:v>23.333333333333332</c:v>
                </c:pt>
                <c:pt idx="191">
                  <c:v>21.5</c:v>
                </c:pt>
                <c:pt idx="192">
                  <c:v>19.666666666666664</c:v>
                </c:pt>
                <c:pt idx="193">
                  <c:v>17.833333333333336</c:v>
                </c:pt>
                <c:pt idx="194">
                  <c:v>16</c:v>
                </c:pt>
                <c:pt idx="195">
                  <c:v>14.166666666666666</c:v>
                </c:pt>
                <c:pt idx="196">
                  <c:v>12.333333333333332</c:v>
                </c:pt>
                <c:pt idx="197">
                  <c:v>10.5</c:v>
                </c:pt>
                <c:pt idx="198">
                  <c:v>8.6666666666666661</c:v>
                </c:pt>
                <c:pt idx="199">
                  <c:v>6.833333333333333</c:v>
                </c:pt>
                <c:pt idx="200">
                  <c:v>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5</c:v>
                </c:pt>
                <c:pt idx="211">
                  <c:v>6.833333333333333</c:v>
                </c:pt>
                <c:pt idx="212">
                  <c:v>8.6666666666666661</c:v>
                </c:pt>
                <c:pt idx="213">
                  <c:v>10.5</c:v>
                </c:pt>
                <c:pt idx="214">
                  <c:v>12.333333333333332</c:v>
                </c:pt>
                <c:pt idx="215">
                  <c:v>14.166666666666666</c:v>
                </c:pt>
                <c:pt idx="216">
                  <c:v>16</c:v>
                </c:pt>
                <c:pt idx="217">
                  <c:v>17.833333333333336</c:v>
                </c:pt>
                <c:pt idx="218">
                  <c:v>19.666666666666664</c:v>
                </c:pt>
                <c:pt idx="219">
                  <c:v>21.5</c:v>
                </c:pt>
                <c:pt idx="220">
                  <c:v>23.333333333333332</c:v>
                </c:pt>
                <c:pt idx="221">
                  <c:v>25.166666666666664</c:v>
                </c:pt>
                <c:pt idx="222">
                  <c:v>27</c:v>
                </c:pt>
                <c:pt idx="223">
                  <c:v>28.833333333333336</c:v>
                </c:pt>
                <c:pt idx="224">
                  <c:v>30.666666666666668</c:v>
                </c:pt>
                <c:pt idx="225">
                  <c:v>32.5</c:v>
                </c:pt>
                <c:pt idx="226">
                  <c:v>34.333333333333329</c:v>
                </c:pt>
                <c:pt idx="227">
                  <c:v>36.166666666666664</c:v>
                </c:pt>
                <c:pt idx="228">
                  <c:v>38</c:v>
                </c:pt>
                <c:pt idx="229">
                  <c:v>39.833333333333329</c:v>
                </c:pt>
                <c:pt idx="230">
                  <c:v>41.666666666666664</c:v>
                </c:pt>
                <c:pt idx="231">
                  <c:v>43.5</c:v>
                </c:pt>
                <c:pt idx="232">
                  <c:v>45.333333333333329</c:v>
                </c:pt>
                <c:pt idx="233">
                  <c:v>47.166666666666671</c:v>
                </c:pt>
                <c:pt idx="234">
                  <c:v>49</c:v>
                </c:pt>
                <c:pt idx="235">
                  <c:v>50.833333333333336</c:v>
                </c:pt>
                <c:pt idx="236">
                  <c:v>52.666666666666671</c:v>
                </c:pt>
                <c:pt idx="237">
                  <c:v>54.5</c:v>
                </c:pt>
                <c:pt idx="238">
                  <c:v>56.333333333333336</c:v>
                </c:pt>
                <c:pt idx="239">
                  <c:v>58.166666666666664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58.166666666666664</c:v>
                </c:pt>
                <c:pt idx="382">
                  <c:v>56.333333333333336</c:v>
                </c:pt>
                <c:pt idx="383">
                  <c:v>54.5</c:v>
                </c:pt>
                <c:pt idx="384">
                  <c:v>52.666666666666671</c:v>
                </c:pt>
                <c:pt idx="385">
                  <c:v>50.833333333333336</c:v>
                </c:pt>
                <c:pt idx="386">
                  <c:v>49</c:v>
                </c:pt>
                <c:pt idx="387">
                  <c:v>47.166666666666671</c:v>
                </c:pt>
                <c:pt idx="388">
                  <c:v>45.333333333333329</c:v>
                </c:pt>
                <c:pt idx="389">
                  <c:v>43.5</c:v>
                </c:pt>
                <c:pt idx="390">
                  <c:v>41.666666666666664</c:v>
                </c:pt>
                <c:pt idx="391">
                  <c:v>39.833333333333329</c:v>
                </c:pt>
                <c:pt idx="392">
                  <c:v>38</c:v>
                </c:pt>
                <c:pt idx="393">
                  <c:v>36.166666666666664</c:v>
                </c:pt>
                <c:pt idx="394">
                  <c:v>34.333333333333329</c:v>
                </c:pt>
                <c:pt idx="395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8-45E4-A593-D384D2285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98212920"/>
        <c:axId val="598208328"/>
      </c:barChart>
      <c:catAx>
        <c:axId val="598212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8208328"/>
        <c:crosses val="autoZero"/>
        <c:auto val="1"/>
        <c:lblAlgn val="ctr"/>
        <c:lblOffset val="100"/>
        <c:noMultiLvlLbl val="0"/>
      </c:catAx>
      <c:valAx>
        <c:axId val="59820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821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</xdr:row>
      <xdr:rowOff>171450</xdr:rowOff>
    </xdr:from>
    <xdr:to>
      <xdr:col>4</xdr:col>
      <xdr:colOff>123825</xdr:colOff>
      <xdr:row>3</xdr:row>
      <xdr:rowOff>47625</xdr:rowOff>
    </xdr:to>
    <xdr:sp macro="[0]!m1_stg_b" textlink="">
      <xdr:nvSpPr>
        <xdr:cNvPr id="2" name="m1_stg">
          <a:extLst>
            <a:ext uri="{FF2B5EF4-FFF2-40B4-BE49-F238E27FC236}">
              <a16:creationId xmlns:a16="http://schemas.microsoft.com/office/drawing/2014/main" id="{E0C77D15-200B-42FF-944B-EAA644592D4F}"/>
            </a:ext>
          </a:extLst>
        </xdr:cNvPr>
        <xdr:cNvSpPr/>
      </xdr:nvSpPr>
      <xdr:spPr>
        <a:xfrm>
          <a:off x="3248025" y="409575"/>
          <a:ext cx="714375" cy="3524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setting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95250</xdr:colOff>
      <xdr:row>4</xdr:row>
      <xdr:rowOff>38100</xdr:rowOff>
    </xdr:from>
    <xdr:to>
      <xdr:col>4</xdr:col>
      <xdr:colOff>123825</xdr:colOff>
      <xdr:row>5</xdr:row>
      <xdr:rowOff>152400</xdr:rowOff>
    </xdr:to>
    <xdr:sp macro="[0]!motor1_start" textlink="">
      <xdr:nvSpPr>
        <xdr:cNvPr id="4" name="m1_sta">
          <a:extLst>
            <a:ext uri="{FF2B5EF4-FFF2-40B4-BE49-F238E27FC236}">
              <a16:creationId xmlns:a16="http://schemas.microsoft.com/office/drawing/2014/main" id="{C18EF167-D9DA-48A1-AAD3-FD80B5A5C134}"/>
            </a:ext>
          </a:extLst>
        </xdr:cNvPr>
        <xdr:cNvSpPr/>
      </xdr:nvSpPr>
      <xdr:spPr>
        <a:xfrm>
          <a:off x="3248025" y="990600"/>
          <a:ext cx="714375" cy="3524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START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95250</xdr:colOff>
      <xdr:row>6</xdr:row>
      <xdr:rowOff>133350</xdr:rowOff>
    </xdr:from>
    <xdr:to>
      <xdr:col>4</xdr:col>
      <xdr:colOff>123825</xdr:colOff>
      <xdr:row>8</xdr:row>
      <xdr:rowOff>9525</xdr:rowOff>
    </xdr:to>
    <xdr:sp macro="[0]!motor1_stop" textlink="">
      <xdr:nvSpPr>
        <xdr:cNvPr id="5" name="m1_stp">
          <a:extLst>
            <a:ext uri="{FF2B5EF4-FFF2-40B4-BE49-F238E27FC236}">
              <a16:creationId xmlns:a16="http://schemas.microsoft.com/office/drawing/2014/main" id="{7A5E515D-6B87-4CE9-9EA1-12898A4DDAA5}"/>
            </a:ext>
          </a:extLst>
        </xdr:cNvPr>
        <xdr:cNvSpPr/>
      </xdr:nvSpPr>
      <xdr:spPr>
        <a:xfrm>
          <a:off x="3248025" y="1562100"/>
          <a:ext cx="714375" cy="3524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STOP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95250</xdr:colOff>
      <xdr:row>10</xdr:row>
      <xdr:rowOff>114300</xdr:rowOff>
    </xdr:from>
    <xdr:to>
      <xdr:col>4</xdr:col>
      <xdr:colOff>123825</xdr:colOff>
      <xdr:row>11</xdr:row>
      <xdr:rowOff>228600</xdr:rowOff>
    </xdr:to>
    <xdr:sp macro="[0]!m2_stg_b" textlink="">
      <xdr:nvSpPr>
        <xdr:cNvPr id="6" name="m2_stg">
          <a:extLst>
            <a:ext uri="{FF2B5EF4-FFF2-40B4-BE49-F238E27FC236}">
              <a16:creationId xmlns:a16="http://schemas.microsoft.com/office/drawing/2014/main" id="{F3861EAB-701B-4B8B-9E29-8044D6FFB692}"/>
            </a:ext>
          </a:extLst>
        </xdr:cNvPr>
        <xdr:cNvSpPr/>
      </xdr:nvSpPr>
      <xdr:spPr>
        <a:xfrm>
          <a:off x="3248025" y="2495550"/>
          <a:ext cx="714375" cy="3524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setting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95250</xdr:colOff>
      <xdr:row>12</xdr:row>
      <xdr:rowOff>219075</xdr:rowOff>
    </xdr:from>
    <xdr:to>
      <xdr:col>4</xdr:col>
      <xdr:colOff>123825</xdr:colOff>
      <xdr:row>14</xdr:row>
      <xdr:rowOff>95250</xdr:rowOff>
    </xdr:to>
    <xdr:sp macro="[0]!motor2_start" textlink="">
      <xdr:nvSpPr>
        <xdr:cNvPr id="7" name="m2_sta">
          <a:extLst>
            <a:ext uri="{FF2B5EF4-FFF2-40B4-BE49-F238E27FC236}">
              <a16:creationId xmlns:a16="http://schemas.microsoft.com/office/drawing/2014/main" id="{D3AEDB15-81D6-4BE7-BAD8-7A51B0B23573}"/>
            </a:ext>
          </a:extLst>
        </xdr:cNvPr>
        <xdr:cNvSpPr/>
      </xdr:nvSpPr>
      <xdr:spPr>
        <a:xfrm>
          <a:off x="3248025" y="3076575"/>
          <a:ext cx="714375" cy="3524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START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95250</xdr:colOff>
      <xdr:row>15</xdr:row>
      <xdr:rowOff>76200</xdr:rowOff>
    </xdr:from>
    <xdr:to>
      <xdr:col>4</xdr:col>
      <xdr:colOff>123825</xdr:colOff>
      <xdr:row>16</xdr:row>
      <xdr:rowOff>190500</xdr:rowOff>
    </xdr:to>
    <xdr:sp macro="[0]!motor2_stop" textlink="">
      <xdr:nvSpPr>
        <xdr:cNvPr id="8" name="m2_stp">
          <a:extLst>
            <a:ext uri="{FF2B5EF4-FFF2-40B4-BE49-F238E27FC236}">
              <a16:creationId xmlns:a16="http://schemas.microsoft.com/office/drawing/2014/main" id="{3767D02B-B3DD-47BF-9BD6-BEA50F4D8FD6}"/>
            </a:ext>
          </a:extLst>
        </xdr:cNvPr>
        <xdr:cNvSpPr/>
      </xdr:nvSpPr>
      <xdr:spPr>
        <a:xfrm>
          <a:off x="3248025" y="3648075"/>
          <a:ext cx="714375" cy="3524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STOP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800100</xdr:colOff>
      <xdr:row>18</xdr:row>
      <xdr:rowOff>9525</xdr:rowOff>
    </xdr:from>
    <xdr:to>
      <xdr:col>1</xdr:col>
      <xdr:colOff>1533526</xdr:colOff>
      <xdr:row>19</xdr:row>
      <xdr:rowOff>47625</xdr:rowOff>
    </xdr:to>
    <xdr:sp macro="" textlink="">
      <xdr:nvSpPr>
        <xdr:cNvPr id="3" name="rcv_cmd">
          <a:extLst>
            <a:ext uri="{FF2B5EF4-FFF2-40B4-BE49-F238E27FC236}">
              <a16:creationId xmlns:a16="http://schemas.microsoft.com/office/drawing/2014/main" id="{9285959F-C10D-44C0-9959-9BB749A6FE01}"/>
            </a:ext>
          </a:extLst>
        </xdr:cNvPr>
        <xdr:cNvSpPr txBox="1"/>
      </xdr:nvSpPr>
      <xdr:spPr>
        <a:xfrm>
          <a:off x="1485900" y="4295775"/>
          <a:ext cx="733426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START</a:t>
          </a:r>
          <a:endParaRPr kumimoji="1" lang="ja-JP" altLang="en-US" sz="1100"/>
        </a:p>
      </xdr:txBody>
    </xdr:sp>
    <xdr:clientData/>
  </xdr:twoCellAnchor>
  <xdr:twoCellAnchor>
    <xdr:from>
      <xdr:col>1</xdr:col>
      <xdr:colOff>133350</xdr:colOff>
      <xdr:row>17</xdr:row>
      <xdr:rowOff>161925</xdr:rowOff>
    </xdr:from>
    <xdr:to>
      <xdr:col>1</xdr:col>
      <xdr:colOff>581025</xdr:colOff>
      <xdr:row>19</xdr:row>
      <xdr:rowOff>133350</xdr:rowOff>
    </xdr:to>
    <xdr:sp macro="" textlink="">
      <xdr:nvSpPr>
        <xdr:cNvPr id="10" name="status_shp">
          <a:extLst>
            <a:ext uri="{FF2B5EF4-FFF2-40B4-BE49-F238E27FC236}">
              <a16:creationId xmlns:a16="http://schemas.microsoft.com/office/drawing/2014/main" id="{84A6061A-562F-44B7-B82F-D8198A88DF6F}"/>
            </a:ext>
          </a:extLst>
        </xdr:cNvPr>
        <xdr:cNvSpPr/>
      </xdr:nvSpPr>
      <xdr:spPr>
        <a:xfrm>
          <a:off x="819150" y="4210050"/>
          <a:ext cx="447675" cy="447675"/>
        </a:xfrm>
        <a:prstGeom prst="ellipse">
          <a:avLst/>
        </a:prstGeom>
        <a:solidFill>
          <a:srgbClr val="00C86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609600</xdr:colOff>
      <xdr:row>0</xdr:row>
      <xdr:rowOff>142875</xdr:rowOff>
    </xdr:from>
    <xdr:to>
      <xdr:col>22</xdr:col>
      <xdr:colOff>285750</xdr:colOff>
      <xdr:row>9</xdr:row>
      <xdr:rowOff>190500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3451E193-87D1-40EE-B522-75B07A052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590550</xdr:colOff>
      <xdr:row>10</xdr:row>
      <xdr:rowOff>0</xdr:rowOff>
    </xdr:from>
    <xdr:to>
      <xdr:col>22</xdr:col>
      <xdr:colOff>247649</xdr:colOff>
      <xdr:row>21</xdr:row>
      <xdr:rowOff>123825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F40B916-CC96-4432-8C9F-543CC7EA4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457200</xdr:colOff>
      <xdr:row>19</xdr:row>
      <xdr:rowOff>123825</xdr:rowOff>
    </xdr:from>
    <xdr:to>
      <xdr:col>3</xdr:col>
      <xdr:colOff>457200</xdr:colOff>
      <xdr:row>21</xdr:row>
      <xdr:rowOff>0</xdr:rowOff>
    </xdr:to>
    <xdr:sp macro="[0]!reset_b" textlink="">
      <xdr:nvSpPr>
        <xdr:cNvPr id="12" name="m2_stp">
          <a:extLst>
            <a:ext uri="{FF2B5EF4-FFF2-40B4-BE49-F238E27FC236}">
              <a16:creationId xmlns:a16="http://schemas.microsoft.com/office/drawing/2014/main" id="{305AF90E-E6C6-49FB-A3F0-504DC7499BC0}"/>
            </a:ext>
          </a:extLst>
        </xdr:cNvPr>
        <xdr:cNvSpPr/>
      </xdr:nvSpPr>
      <xdr:spPr>
        <a:xfrm>
          <a:off x="2895600" y="4648200"/>
          <a:ext cx="714375" cy="35242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RESET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42"/>
  <sheetViews>
    <sheetView topLeftCell="A78" workbookViewId="0">
      <selection activeCell="G93" sqref="G93"/>
    </sheetView>
  </sheetViews>
  <sheetFormatPr defaultRowHeight="18.75"/>
  <cols>
    <col min="1" max="1" width="8.25" bestFit="1" customWidth="1"/>
    <col min="2" max="2" width="11.125" bestFit="1" customWidth="1"/>
    <col min="3" max="3" width="7.125" bestFit="1" customWidth="1"/>
    <col min="4" max="4" width="12.875" bestFit="1" customWidth="1"/>
    <col min="5" max="5" width="20.125" bestFit="1" customWidth="1"/>
    <col min="6" max="6" width="19.875" bestFit="1" customWidth="1"/>
    <col min="7" max="7" width="10.875" bestFit="1" customWidth="1"/>
    <col min="9" max="9" width="10" bestFit="1" customWidth="1"/>
  </cols>
  <sheetData>
    <row r="1" spans="1:9">
      <c r="A1" t="s">
        <v>0</v>
      </c>
      <c r="B1" t="s">
        <v>2</v>
      </c>
      <c r="C1" t="s">
        <v>6</v>
      </c>
      <c r="D1" t="s">
        <v>63</v>
      </c>
      <c r="E1" t="s">
        <v>64</v>
      </c>
      <c r="F1" t="s">
        <v>66</v>
      </c>
      <c r="G1" t="s">
        <v>65</v>
      </c>
      <c r="H1" t="s">
        <v>67</v>
      </c>
      <c r="I1" t="s">
        <v>68</v>
      </c>
    </row>
    <row r="2" spans="1:9">
      <c r="A2" t="s">
        <v>1</v>
      </c>
      <c r="B2" t="s">
        <v>3</v>
      </c>
      <c r="C2" t="s">
        <v>62</v>
      </c>
      <c r="E2" t="s">
        <v>9</v>
      </c>
      <c r="F2" t="s">
        <v>11</v>
      </c>
      <c r="G2" t="s">
        <v>70</v>
      </c>
    </row>
    <row r="3" spans="1:9">
      <c r="A3" t="s">
        <v>7</v>
      </c>
      <c r="B3" t="s">
        <v>4</v>
      </c>
      <c r="E3" t="s">
        <v>10</v>
      </c>
      <c r="F3" t="s">
        <v>69</v>
      </c>
    </row>
    <row r="4" spans="1:9">
      <c r="A4" t="s">
        <v>8</v>
      </c>
      <c r="B4" t="s">
        <v>5</v>
      </c>
    </row>
    <row r="5" spans="1:9">
      <c r="A5">
        <v>1</v>
      </c>
      <c r="C5" t="s">
        <v>71</v>
      </c>
      <c r="D5" t="s">
        <v>72</v>
      </c>
      <c r="E5" t="s">
        <v>73</v>
      </c>
      <c r="F5" t="s">
        <v>17</v>
      </c>
      <c r="G5" t="s">
        <v>74</v>
      </c>
      <c r="I5" t="s">
        <v>75</v>
      </c>
    </row>
    <row r="6" spans="1:9">
      <c r="E6" t="s">
        <v>12</v>
      </c>
      <c r="F6" t="s">
        <v>18</v>
      </c>
    </row>
    <row r="7" spans="1:9">
      <c r="E7" t="s">
        <v>13</v>
      </c>
    </row>
    <row r="8" spans="1:9">
      <c r="E8" t="s">
        <v>14</v>
      </c>
    </row>
    <row r="9" spans="1:9">
      <c r="E9" t="s">
        <v>15</v>
      </c>
    </row>
    <row r="10" spans="1:9">
      <c r="E10" t="s">
        <v>16</v>
      </c>
    </row>
    <row r="11" spans="1:9">
      <c r="A11">
        <v>2</v>
      </c>
      <c r="B11" t="s">
        <v>76</v>
      </c>
    </row>
    <row r="12" spans="1:9">
      <c r="A12">
        <v>3</v>
      </c>
      <c r="B12" t="s">
        <v>77</v>
      </c>
    </row>
    <row r="13" spans="1:9">
      <c r="A13">
        <v>4</v>
      </c>
      <c r="B13" t="s">
        <v>78</v>
      </c>
      <c r="C13" t="s">
        <v>79</v>
      </c>
      <c r="D13" t="s">
        <v>80</v>
      </c>
      <c r="E13" t="s">
        <v>81</v>
      </c>
      <c r="F13" t="s">
        <v>21</v>
      </c>
      <c r="G13" t="s">
        <v>83</v>
      </c>
      <c r="I13" t="s">
        <v>84</v>
      </c>
    </row>
    <row r="14" spans="1:9">
      <c r="E14" t="s">
        <v>19</v>
      </c>
      <c r="F14" t="s">
        <v>22</v>
      </c>
      <c r="I14" t="s">
        <v>25</v>
      </c>
    </row>
    <row r="15" spans="1:9">
      <c r="E15" t="s">
        <v>20</v>
      </c>
      <c r="F15" t="s">
        <v>23</v>
      </c>
    </row>
    <row r="16" spans="1:9">
      <c r="F16" t="s">
        <v>24</v>
      </c>
    </row>
    <row r="17" spans="1:9">
      <c r="A17">
        <v>5</v>
      </c>
      <c r="B17" t="s">
        <v>85</v>
      </c>
    </row>
    <row r="18" spans="1:9">
      <c r="A18">
        <v>6</v>
      </c>
      <c r="B18" t="s">
        <v>86</v>
      </c>
    </row>
    <row r="19" spans="1:9">
      <c r="A19">
        <v>7</v>
      </c>
      <c r="C19" t="s">
        <v>87</v>
      </c>
      <c r="D19" t="s">
        <v>88</v>
      </c>
      <c r="E19" t="s">
        <v>89</v>
      </c>
      <c r="F19" t="s">
        <v>30</v>
      </c>
      <c r="G19" t="s">
        <v>90</v>
      </c>
      <c r="I19" t="s">
        <v>91</v>
      </c>
    </row>
    <row r="20" spans="1:9">
      <c r="E20" t="s">
        <v>26</v>
      </c>
      <c r="F20" t="s">
        <v>31</v>
      </c>
      <c r="I20" t="s">
        <v>34</v>
      </c>
    </row>
    <row r="21" spans="1:9">
      <c r="E21" t="s">
        <v>27</v>
      </c>
      <c r="F21" t="s">
        <v>32</v>
      </c>
    </row>
    <row r="22" spans="1:9">
      <c r="E22" t="s">
        <v>14</v>
      </c>
      <c r="F22" t="s">
        <v>33</v>
      </c>
    </row>
    <row r="23" spans="1:9">
      <c r="E23" t="s">
        <v>28</v>
      </c>
    </row>
    <row r="24" spans="1:9">
      <c r="E24" t="s">
        <v>29</v>
      </c>
    </row>
    <row r="25" spans="1:9">
      <c r="A25">
        <v>8</v>
      </c>
      <c r="C25" t="s">
        <v>92</v>
      </c>
      <c r="D25" t="s">
        <v>93</v>
      </c>
      <c r="E25" t="s">
        <v>94</v>
      </c>
      <c r="F25" t="s">
        <v>95</v>
      </c>
      <c r="H25" t="s">
        <v>96</v>
      </c>
    </row>
    <row r="26" spans="1:9">
      <c r="E26" t="s">
        <v>35</v>
      </c>
    </row>
    <row r="27" spans="1:9">
      <c r="E27" t="s">
        <v>27</v>
      </c>
    </row>
    <row r="28" spans="1:9">
      <c r="E28" t="s">
        <v>14</v>
      </c>
    </row>
    <row r="29" spans="1:9">
      <c r="E29" t="s">
        <v>28</v>
      </c>
    </row>
    <row r="30" spans="1:9">
      <c r="E30" t="s">
        <v>36</v>
      </c>
    </row>
    <row r="31" spans="1:9">
      <c r="A31">
        <v>9</v>
      </c>
      <c r="C31" t="s">
        <v>97</v>
      </c>
      <c r="D31" t="s">
        <v>98</v>
      </c>
      <c r="E31" t="s">
        <v>99</v>
      </c>
      <c r="F31" t="s">
        <v>100</v>
      </c>
      <c r="G31" t="s">
        <v>101</v>
      </c>
    </row>
    <row r="32" spans="1:9">
      <c r="E32" t="s">
        <v>37</v>
      </c>
    </row>
    <row r="33" spans="1:7">
      <c r="E33" t="s">
        <v>27</v>
      </c>
    </row>
    <row r="34" spans="1:7">
      <c r="E34" t="s">
        <v>14</v>
      </c>
    </row>
    <row r="35" spans="1:7">
      <c r="E35" t="s">
        <v>28</v>
      </c>
    </row>
    <row r="36" spans="1:7">
      <c r="E36" t="s">
        <v>38</v>
      </c>
    </row>
    <row r="37" spans="1:7">
      <c r="A37">
        <v>10</v>
      </c>
      <c r="B37" t="s">
        <v>102</v>
      </c>
    </row>
    <row r="38" spans="1:7">
      <c r="A38">
        <v>11</v>
      </c>
      <c r="B38" t="s">
        <v>103</v>
      </c>
      <c r="C38" t="s">
        <v>104</v>
      </c>
    </row>
    <row r="39" spans="1:7">
      <c r="A39">
        <v>12</v>
      </c>
      <c r="B39" t="s">
        <v>77</v>
      </c>
    </row>
    <row r="40" spans="1:7">
      <c r="A40">
        <v>13</v>
      </c>
      <c r="B40" t="s">
        <v>105</v>
      </c>
      <c r="C40" t="s">
        <v>106</v>
      </c>
    </row>
    <row r="41" spans="1:7">
      <c r="A41">
        <v>14</v>
      </c>
      <c r="B41" t="s">
        <v>107</v>
      </c>
    </row>
    <row r="42" spans="1:7">
      <c r="A42">
        <v>15</v>
      </c>
      <c r="C42" t="s">
        <v>108</v>
      </c>
      <c r="E42" t="s">
        <v>109</v>
      </c>
      <c r="G42" t="s">
        <v>110</v>
      </c>
    </row>
    <row r="43" spans="1:7">
      <c r="A43">
        <v>16</v>
      </c>
      <c r="C43" t="s">
        <v>111</v>
      </c>
      <c r="D43" t="s">
        <v>112</v>
      </c>
      <c r="E43" t="s">
        <v>73</v>
      </c>
      <c r="F43" t="s">
        <v>40</v>
      </c>
      <c r="G43" t="s">
        <v>44</v>
      </c>
    </row>
    <row r="44" spans="1:7">
      <c r="E44" t="s">
        <v>39</v>
      </c>
      <c r="F44" t="s">
        <v>41</v>
      </c>
    </row>
    <row r="45" spans="1:7">
      <c r="F45" t="s">
        <v>42</v>
      </c>
    </row>
    <row r="46" spans="1:7">
      <c r="F46" t="s">
        <v>43</v>
      </c>
    </row>
    <row r="47" spans="1:7">
      <c r="A47">
        <v>17</v>
      </c>
      <c r="C47" t="s">
        <v>113</v>
      </c>
      <c r="D47" t="s">
        <v>114</v>
      </c>
      <c r="E47" t="s">
        <v>47</v>
      </c>
      <c r="F47" t="s">
        <v>50</v>
      </c>
      <c r="G47" t="s">
        <v>53</v>
      </c>
    </row>
    <row r="48" spans="1:7">
      <c r="D48" t="s">
        <v>45</v>
      </c>
      <c r="E48" t="s">
        <v>48</v>
      </c>
      <c r="F48" t="s">
        <v>51</v>
      </c>
    </row>
    <row r="49" spans="1:9">
      <c r="D49" t="s">
        <v>46</v>
      </c>
      <c r="E49" t="s">
        <v>49</v>
      </c>
      <c r="F49" t="s">
        <v>52</v>
      </c>
    </row>
    <row r="50" spans="1:9">
      <c r="A50">
        <v>18</v>
      </c>
      <c r="B50" t="s">
        <v>115</v>
      </c>
      <c r="C50" t="s">
        <v>116</v>
      </c>
      <c r="E50" t="s">
        <v>81</v>
      </c>
      <c r="F50" t="s">
        <v>58</v>
      </c>
      <c r="G50" t="s">
        <v>61</v>
      </c>
    </row>
    <row r="51" spans="1:9">
      <c r="E51" t="s">
        <v>19</v>
      </c>
      <c r="F51" t="s">
        <v>59</v>
      </c>
    </row>
    <row r="52" spans="1:9">
      <c r="E52" t="s">
        <v>54</v>
      </c>
      <c r="F52" t="s">
        <v>60</v>
      </c>
    </row>
    <row r="53" spans="1:9">
      <c r="E53" t="s">
        <v>13</v>
      </c>
    </row>
    <row r="54" spans="1:9">
      <c r="E54" t="s">
        <v>55</v>
      </c>
    </row>
    <row r="55" spans="1:9">
      <c r="E55" t="s">
        <v>56</v>
      </c>
    </row>
    <row r="56" spans="1:9">
      <c r="E56" t="s">
        <v>57</v>
      </c>
    </row>
    <row r="57" spans="1:9">
      <c r="A57">
        <v>19</v>
      </c>
      <c r="B57" t="s">
        <v>174</v>
      </c>
      <c r="C57" t="s">
        <v>175</v>
      </c>
      <c r="E57" t="s">
        <v>89</v>
      </c>
      <c r="F57" t="s">
        <v>121</v>
      </c>
      <c r="G57" t="s">
        <v>176</v>
      </c>
      <c r="I57" t="s">
        <v>75</v>
      </c>
    </row>
    <row r="58" spans="1:9">
      <c r="E58" t="s">
        <v>26</v>
      </c>
      <c r="F58" t="s">
        <v>122</v>
      </c>
    </row>
    <row r="59" spans="1:9">
      <c r="E59" t="s">
        <v>117</v>
      </c>
      <c r="F59" t="s">
        <v>123</v>
      </c>
    </row>
    <row r="60" spans="1:9">
      <c r="E60" t="s">
        <v>118</v>
      </c>
      <c r="F60" t="s">
        <v>124</v>
      </c>
    </row>
    <row r="61" spans="1:9">
      <c r="E61" t="s">
        <v>119</v>
      </c>
    </row>
    <row r="62" spans="1:9">
      <c r="E62" t="s">
        <v>120</v>
      </c>
    </row>
    <row r="63" spans="1:9">
      <c r="A63">
        <v>20</v>
      </c>
      <c r="B63" t="s">
        <v>177</v>
      </c>
      <c r="C63" t="s">
        <v>178</v>
      </c>
      <c r="E63" t="s">
        <v>144</v>
      </c>
      <c r="F63" t="s">
        <v>127</v>
      </c>
      <c r="G63" t="s">
        <v>130</v>
      </c>
    </row>
    <row r="64" spans="1:9">
      <c r="E64" t="s">
        <v>27</v>
      </c>
      <c r="F64" t="s">
        <v>128</v>
      </c>
    </row>
    <row r="65" spans="1:7">
      <c r="E65" t="s">
        <v>125</v>
      </c>
      <c r="F65" t="s">
        <v>129</v>
      </c>
    </row>
    <row r="66" spans="1:7">
      <c r="E66" t="s">
        <v>126</v>
      </c>
    </row>
    <row r="67" spans="1:7">
      <c r="A67">
        <v>21</v>
      </c>
      <c r="B67" t="s">
        <v>179</v>
      </c>
      <c r="C67" t="s">
        <v>180</v>
      </c>
      <c r="E67" t="s">
        <v>181</v>
      </c>
      <c r="F67" t="s">
        <v>182</v>
      </c>
      <c r="G67" t="s">
        <v>82</v>
      </c>
    </row>
    <row r="68" spans="1:7">
      <c r="E68" t="s">
        <v>14</v>
      </c>
    </row>
    <row r="69" spans="1:7">
      <c r="E69" t="s">
        <v>131</v>
      </c>
    </row>
    <row r="70" spans="1:7">
      <c r="E70" t="s">
        <v>132</v>
      </c>
    </row>
    <row r="71" spans="1:7">
      <c r="A71">
        <v>22</v>
      </c>
      <c r="B71" t="s">
        <v>183</v>
      </c>
      <c r="C71" t="s">
        <v>184</v>
      </c>
      <c r="E71" t="s">
        <v>185</v>
      </c>
      <c r="F71" t="s">
        <v>134</v>
      </c>
    </row>
    <row r="72" spans="1:7">
      <c r="E72" t="s">
        <v>28</v>
      </c>
      <c r="F72" t="s">
        <v>135</v>
      </c>
    </row>
    <row r="73" spans="1:7">
      <c r="E73" t="s">
        <v>133</v>
      </c>
      <c r="F73" t="s">
        <v>136</v>
      </c>
    </row>
    <row r="74" spans="1:7">
      <c r="A74">
        <v>23</v>
      </c>
      <c r="B74" t="s">
        <v>186</v>
      </c>
      <c r="C74" t="s">
        <v>187</v>
      </c>
      <c r="D74" t="s">
        <v>188</v>
      </c>
      <c r="E74" t="s">
        <v>189</v>
      </c>
      <c r="F74" t="s">
        <v>140</v>
      </c>
    </row>
    <row r="75" spans="1:7">
      <c r="E75" t="s">
        <v>54</v>
      </c>
    </row>
    <row r="76" spans="1:7">
      <c r="E76" t="s">
        <v>137</v>
      </c>
    </row>
    <row r="77" spans="1:7">
      <c r="E77" t="s">
        <v>138</v>
      </c>
    </row>
    <row r="78" spans="1:7">
      <c r="E78" t="s">
        <v>139</v>
      </c>
    </row>
    <row r="79" spans="1:7">
      <c r="A79">
        <v>24</v>
      </c>
      <c r="B79" t="s">
        <v>190</v>
      </c>
      <c r="C79" t="s">
        <v>191</v>
      </c>
      <c r="D79" t="s">
        <v>192</v>
      </c>
      <c r="E79" t="s">
        <v>13</v>
      </c>
      <c r="F79" t="s">
        <v>142</v>
      </c>
    </row>
    <row r="80" spans="1:7">
      <c r="E80" t="s">
        <v>117</v>
      </c>
      <c r="F80" t="s">
        <v>143</v>
      </c>
    </row>
    <row r="81" spans="1:7">
      <c r="E81" t="s">
        <v>15</v>
      </c>
    </row>
    <row r="82" spans="1:7">
      <c r="E82" t="s">
        <v>141</v>
      </c>
    </row>
    <row r="83" spans="1:7">
      <c r="A83">
        <v>25</v>
      </c>
      <c r="B83" t="s">
        <v>193</v>
      </c>
      <c r="C83" t="s">
        <v>194</v>
      </c>
      <c r="D83" t="s">
        <v>195</v>
      </c>
      <c r="E83" t="s">
        <v>118</v>
      </c>
      <c r="F83" t="s">
        <v>147</v>
      </c>
    </row>
    <row r="84" spans="1:7">
      <c r="E84" t="s">
        <v>144</v>
      </c>
      <c r="F84" t="s">
        <v>148</v>
      </c>
    </row>
    <row r="85" spans="1:7">
      <c r="E85" t="s">
        <v>145</v>
      </c>
    </row>
    <row r="86" spans="1:7">
      <c r="E86" t="s">
        <v>146</v>
      </c>
    </row>
    <row r="87" spans="1:7">
      <c r="A87">
        <v>26</v>
      </c>
      <c r="B87" t="s">
        <v>196</v>
      </c>
      <c r="C87" t="s">
        <v>197</v>
      </c>
      <c r="D87" t="s">
        <v>198</v>
      </c>
      <c r="E87" t="s">
        <v>181</v>
      </c>
      <c r="F87" t="s">
        <v>150</v>
      </c>
    </row>
    <row r="88" spans="1:7">
      <c r="E88" t="s">
        <v>149</v>
      </c>
      <c r="F88" t="s">
        <v>151</v>
      </c>
    </row>
    <row r="89" spans="1:7">
      <c r="A89" s="2">
        <v>27</v>
      </c>
      <c r="B89" t="s">
        <v>199</v>
      </c>
      <c r="C89" t="s">
        <v>200</v>
      </c>
      <c r="D89" t="s">
        <v>201</v>
      </c>
      <c r="E89" t="s">
        <v>185</v>
      </c>
      <c r="F89" t="s">
        <v>50</v>
      </c>
      <c r="G89" t="s">
        <v>82</v>
      </c>
    </row>
    <row r="90" spans="1:7">
      <c r="E90" t="s">
        <v>152</v>
      </c>
      <c r="F90" t="s">
        <v>153</v>
      </c>
    </row>
    <row r="91" spans="1:7">
      <c r="F91" t="s">
        <v>154</v>
      </c>
    </row>
    <row r="92" spans="1:7">
      <c r="F92" s="2" t="s">
        <v>155</v>
      </c>
    </row>
    <row r="93" spans="1:7">
      <c r="F93" t="s">
        <v>156</v>
      </c>
    </row>
    <row r="94" spans="1:7">
      <c r="F94" t="s">
        <v>52</v>
      </c>
    </row>
    <row r="95" spans="1:7">
      <c r="A95" s="2">
        <v>28</v>
      </c>
      <c r="B95" t="s">
        <v>202</v>
      </c>
      <c r="C95" t="s">
        <v>203</v>
      </c>
      <c r="D95" t="s">
        <v>204</v>
      </c>
      <c r="E95" t="s">
        <v>189</v>
      </c>
      <c r="F95" t="s">
        <v>58</v>
      </c>
    </row>
    <row r="96" spans="1:7">
      <c r="E96" t="s">
        <v>157</v>
      </c>
      <c r="F96" t="s">
        <v>158</v>
      </c>
    </row>
    <row r="97" spans="1:9">
      <c r="F97" t="s">
        <v>159</v>
      </c>
    </row>
    <row r="98" spans="1:9">
      <c r="F98" s="2" t="s">
        <v>160</v>
      </c>
    </row>
    <row r="99" spans="1:9">
      <c r="F99" t="s">
        <v>161</v>
      </c>
    </row>
    <row r="100" spans="1:9">
      <c r="F100" t="s">
        <v>162</v>
      </c>
    </row>
    <row r="101" spans="1:9">
      <c r="A101">
        <v>29</v>
      </c>
      <c r="B101" t="s">
        <v>107</v>
      </c>
    </row>
    <row r="102" spans="1:9">
      <c r="A102">
        <v>30</v>
      </c>
      <c r="C102" t="s">
        <v>205</v>
      </c>
      <c r="D102" t="s">
        <v>206</v>
      </c>
      <c r="E102" t="s">
        <v>27</v>
      </c>
      <c r="F102" t="s">
        <v>40</v>
      </c>
      <c r="G102" t="s">
        <v>167</v>
      </c>
    </row>
    <row r="103" spans="1:9">
      <c r="E103" t="s">
        <v>14</v>
      </c>
      <c r="F103" t="s">
        <v>164</v>
      </c>
    </row>
    <row r="104" spans="1:9">
      <c r="E104" t="s">
        <v>28</v>
      </c>
      <c r="F104" t="s">
        <v>165</v>
      </c>
    </row>
    <row r="105" spans="1:9">
      <c r="E105" t="s">
        <v>163</v>
      </c>
      <c r="F105" t="s">
        <v>166</v>
      </c>
    </row>
    <row r="106" spans="1:9">
      <c r="A106">
        <v>31</v>
      </c>
      <c r="B106" t="s">
        <v>77</v>
      </c>
    </row>
    <row r="107" spans="1:9">
      <c r="A107">
        <v>32</v>
      </c>
      <c r="C107" t="s">
        <v>207</v>
      </c>
      <c r="D107" t="s">
        <v>208</v>
      </c>
      <c r="E107" t="s">
        <v>209</v>
      </c>
      <c r="F107" t="s">
        <v>210</v>
      </c>
      <c r="G107" t="s">
        <v>211</v>
      </c>
    </row>
    <row r="108" spans="1:9">
      <c r="E108" t="s">
        <v>168</v>
      </c>
    </row>
    <row r="109" spans="1:9">
      <c r="E109" t="s">
        <v>20</v>
      </c>
    </row>
    <row r="110" spans="1:9">
      <c r="A110">
        <v>33</v>
      </c>
      <c r="C110" t="s">
        <v>212</v>
      </c>
      <c r="D110" t="s">
        <v>213</v>
      </c>
      <c r="E110" t="s">
        <v>214</v>
      </c>
      <c r="F110" t="s">
        <v>171</v>
      </c>
      <c r="I110" t="s">
        <v>173</v>
      </c>
    </row>
    <row r="111" spans="1:9">
      <c r="E111" t="s">
        <v>169</v>
      </c>
      <c r="F111" t="s">
        <v>172</v>
      </c>
    </row>
    <row r="112" spans="1:9">
      <c r="E112" t="s">
        <v>170</v>
      </c>
    </row>
    <row r="113" spans="1:9">
      <c r="A113">
        <v>34</v>
      </c>
      <c r="C113" t="s">
        <v>264</v>
      </c>
      <c r="D113" t="s">
        <v>265</v>
      </c>
      <c r="E113" t="s">
        <v>266</v>
      </c>
      <c r="F113" t="s">
        <v>217</v>
      </c>
      <c r="G113" t="s">
        <v>90</v>
      </c>
      <c r="I113" t="s">
        <v>267</v>
      </c>
    </row>
    <row r="114" spans="1:9">
      <c r="E114" t="s">
        <v>215</v>
      </c>
      <c r="F114" t="s">
        <v>218</v>
      </c>
    </row>
    <row r="115" spans="1:9">
      <c r="E115" t="s">
        <v>216</v>
      </c>
    </row>
    <row r="116" spans="1:9">
      <c r="A116">
        <v>35</v>
      </c>
      <c r="C116" t="s">
        <v>268</v>
      </c>
      <c r="D116" t="s">
        <v>269</v>
      </c>
      <c r="E116" t="s">
        <v>220</v>
      </c>
      <c r="F116" t="s">
        <v>171</v>
      </c>
      <c r="G116" t="s">
        <v>270</v>
      </c>
      <c r="I116" t="s">
        <v>271</v>
      </c>
    </row>
    <row r="117" spans="1:9">
      <c r="D117" t="s">
        <v>219</v>
      </c>
      <c r="E117" t="s">
        <v>221</v>
      </c>
      <c r="F117" t="s">
        <v>222</v>
      </c>
    </row>
    <row r="118" spans="1:9">
      <c r="F118" t="s">
        <v>123</v>
      </c>
    </row>
    <row r="119" spans="1:9">
      <c r="F119" t="s">
        <v>223</v>
      </c>
    </row>
    <row r="120" spans="1:9">
      <c r="A120">
        <v>36</v>
      </c>
      <c r="C120" t="s">
        <v>272</v>
      </c>
      <c r="D120" t="s">
        <v>273</v>
      </c>
      <c r="E120" t="s">
        <v>274</v>
      </c>
      <c r="F120" t="s">
        <v>217</v>
      </c>
      <c r="G120" t="s">
        <v>275</v>
      </c>
      <c r="I120" t="s">
        <v>276</v>
      </c>
    </row>
    <row r="121" spans="1:9">
      <c r="E121" t="s">
        <v>224</v>
      </c>
      <c r="F121" t="s">
        <v>225</v>
      </c>
    </row>
    <row r="122" spans="1:9">
      <c r="F122" t="s">
        <v>226</v>
      </c>
    </row>
    <row r="123" spans="1:9">
      <c r="F123" t="s">
        <v>227</v>
      </c>
    </row>
    <row r="124" spans="1:9">
      <c r="A124">
        <v>37</v>
      </c>
      <c r="C124" t="s">
        <v>277</v>
      </c>
      <c r="D124" t="s">
        <v>278</v>
      </c>
      <c r="E124" t="s">
        <v>279</v>
      </c>
      <c r="F124" t="s">
        <v>229</v>
      </c>
      <c r="I124" t="s">
        <v>232</v>
      </c>
    </row>
    <row r="125" spans="1:9">
      <c r="E125" t="s">
        <v>228</v>
      </c>
      <c r="F125" t="s">
        <v>230</v>
      </c>
    </row>
    <row r="126" spans="1:9">
      <c r="F126" t="s">
        <v>231</v>
      </c>
    </row>
    <row r="127" spans="1:9">
      <c r="A127">
        <v>38</v>
      </c>
      <c r="C127" t="s">
        <v>280</v>
      </c>
      <c r="D127" t="s">
        <v>281</v>
      </c>
      <c r="E127" t="s">
        <v>282</v>
      </c>
      <c r="F127" t="s">
        <v>30</v>
      </c>
    </row>
    <row r="128" spans="1:9">
      <c r="E128" t="s">
        <v>233</v>
      </c>
      <c r="F128" t="s">
        <v>235</v>
      </c>
    </row>
    <row r="129" spans="1:9">
      <c r="E129" t="s">
        <v>234</v>
      </c>
      <c r="F129" t="s">
        <v>124</v>
      </c>
    </row>
    <row r="130" spans="1:9">
      <c r="A130">
        <v>39</v>
      </c>
      <c r="C130" t="s">
        <v>283</v>
      </c>
      <c r="D130" t="s">
        <v>284</v>
      </c>
      <c r="E130" t="s">
        <v>285</v>
      </c>
      <c r="F130" t="s">
        <v>238</v>
      </c>
    </row>
    <row r="131" spans="1:9">
      <c r="E131" t="s">
        <v>236</v>
      </c>
      <c r="F131" t="s">
        <v>239</v>
      </c>
    </row>
    <row r="132" spans="1:9">
      <c r="E132" t="s">
        <v>237</v>
      </c>
      <c r="F132" t="s">
        <v>240</v>
      </c>
    </row>
    <row r="133" spans="1:9">
      <c r="F133" t="s">
        <v>241</v>
      </c>
    </row>
    <row r="134" spans="1:9">
      <c r="A134">
        <v>40</v>
      </c>
      <c r="C134" t="s">
        <v>286</v>
      </c>
      <c r="E134" t="s">
        <v>287</v>
      </c>
      <c r="F134" t="s">
        <v>30</v>
      </c>
      <c r="G134" t="s">
        <v>288</v>
      </c>
      <c r="I134" t="s">
        <v>232</v>
      </c>
    </row>
    <row r="135" spans="1:9">
      <c r="E135" t="s">
        <v>242</v>
      </c>
      <c r="F135" t="s">
        <v>243</v>
      </c>
    </row>
    <row r="136" spans="1:9">
      <c r="F136" t="s">
        <v>154</v>
      </c>
    </row>
    <row r="137" spans="1:9">
      <c r="F137" t="s">
        <v>244</v>
      </c>
    </row>
    <row r="138" spans="1:9">
      <c r="A138">
        <v>41</v>
      </c>
      <c r="C138" t="s">
        <v>289</v>
      </c>
      <c r="E138" t="s">
        <v>290</v>
      </c>
      <c r="F138" t="s">
        <v>246</v>
      </c>
    </row>
    <row r="139" spans="1:9">
      <c r="E139" t="s">
        <v>245</v>
      </c>
      <c r="F139" t="s">
        <v>159</v>
      </c>
    </row>
    <row r="140" spans="1:9">
      <c r="F140" t="s">
        <v>247</v>
      </c>
    </row>
    <row r="141" spans="1:9">
      <c r="A141">
        <v>42</v>
      </c>
      <c r="B141" t="s">
        <v>107</v>
      </c>
    </row>
    <row r="142" spans="1:9">
      <c r="A142">
        <v>43</v>
      </c>
      <c r="C142" t="s">
        <v>291</v>
      </c>
      <c r="D142" t="s">
        <v>292</v>
      </c>
      <c r="E142" t="s">
        <v>27</v>
      </c>
      <c r="F142" t="s">
        <v>293</v>
      </c>
      <c r="G142" t="s">
        <v>294</v>
      </c>
    </row>
    <row r="143" spans="1:9">
      <c r="D143" t="s">
        <v>46</v>
      </c>
      <c r="E143" t="s">
        <v>14</v>
      </c>
    </row>
    <row r="144" spans="1:9">
      <c r="E144" t="s">
        <v>28</v>
      </c>
    </row>
    <row r="145" spans="1:5">
      <c r="E145" t="s">
        <v>248</v>
      </c>
    </row>
    <row r="146" spans="1:5">
      <c r="A146">
        <v>44</v>
      </c>
      <c r="B146" t="s">
        <v>77</v>
      </c>
    </row>
    <row r="147" spans="1:5">
      <c r="A147">
        <v>45</v>
      </c>
      <c r="C147" t="s">
        <v>295</v>
      </c>
      <c r="E147" t="s">
        <v>296</v>
      </c>
    </row>
    <row r="148" spans="1:5">
      <c r="E148" t="s">
        <v>249</v>
      </c>
    </row>
    <row r="149" spans="1:5">
      <c r="E149" t="s">
        <v>250</v>
      </c>
    </row>
    <row r="150" spans="1:5">
      <c r="E150" t="s">
        <v>251</v>
      </c>
    </row>
    <row r="151" spans="1:5">
      <c r="E151" t="s">
        <v>252</v>
      </c>
    </row>
    <row r="152" spans="1:5">
      <c r="E152" t="s">
        <v>253</v>
      </c>
    </row>
    <row r="153" spans="1:5">
      <c r="A153">
        <v>46</v>
      </c>
      <c r="C153" t="s">
        <v>297</v>
      </c>
      <c r="E153" t="s">
        <v>298</v>
      </c>
    </row>
    <row r="154" spans="1:5">
      <c r="E154" t="s">
        <v>254</v>
      </c>
    </row>
    <row r="155" spans="1:5">
      <c r="E155" t="s">
        <v>255</v>
      </c>
    </row>
    <row r="156" spans="1:5">
      <c r="E156" t="s">
        <v>256</v>
      </c>
    </row>
    <row r="157" spans="1:5">
      <c r="E157" t="s">
        <v>257</v>
      </c>
    </row>
    <row r="158" spans="1:5">
      <c r="E158" t="s">
        <v>258</v>
      </c>
    </row>
    <row r="159" spans="1:5">
      <c r="A159">
        <v>47</v>
      </c>
      <c r="C159" t="s">
        <v>299</v>
      </c>
      <c r="E159" t="s">
        <v>300</v>
      </c>
    </row>
    <row r="160" spans="1:5">
      <c r="E160" t="s">
        <v>259</v>
      </c>
    </row>
    <row r="161" spans="1:5">
      <c r="E161" t="s">
        <v>260</v>
      </c>
    </row>
    <row r="162" spans="1:5">
      <c r="E162" t="s">
        <v>261</v>
      </c>
    </row>
    <row r="163" spans="1:5">
      <c r="E163" t="s">
        <v>262</v>
      </c>
    </row>
    <row r="164" spans="1:5">
      <c r="E164" t="s">
        <v>263</v>
      </c>
    </row>
    <row r="165" spans="1:5">
      <c r="A165">
        <v>48</v>
      </c>
      <c r="C165" t="s">
        <v>332</v>
      </c>
      <c r="E165" t="s">
        <v>333</v>
      </c>
    </row>
    <row r="166" spans="1:5">
      <c r="E166" t="s">
        <v>301</v>
      </c>
    </row>
    <row r="167" spans="1:5">
      <c r="E167" t="s">
        <v>302</v>
      </c>
    </row>
    <row r="168" spans="1:5">
      <c r="E168" t="s">
        <v>303</v>
      </c>
    </row>
    <row r="169" spans="1:5">
      <c r="E169" t="s">
        <v>304</v>
      </c>
    </row>
    <row r="170" spans="1:5">
      <c r="E170" t="s">
        <v>305</v>
      </c>
    </row>
    <row r="171" spans="1:5">
      <c r="A171">
        <v>49</v>
      </c>
      <c r="C171" t="s">
        <v>334</v>
      </c>
      <c r="E171" t="s">
        <v>335</v>
      </c>
    </row>
    <row r="172" spans="1:5">
      <c r="E172" t="s">
        <v>306</v>
      </c>
    </row>
    <row r="173" spans="1:5">
      <c r="E173" t="s">
        <v>307</v>
      </c>
    </row>
    <row r="174" spans="1:5">
      <c r="E174" t="s">
        <v>308</v>
      </c>
    </row>
    <row r="175" spans="1:5">
      <c r="E175" t="s">
        <v>309</v>
      </c>
    </row>
    <row r="176" spans="1:5">
      <c r="E176" t="s">
        <v>310</v>
      </c>
    </row>
    <row r="177" spans="1:5">
      <c r="A177">
        <v>50</v>
      </c>
      <c r="C177" t="s">
        <v>336</v>
      </c>
      <c r="E177" t="s">
        <v>337</v>
      </c>
    </row>
    <row r="178" spans="1:5">
      <c r="E178" t="s">
        <v>311</v>
      </c>
    </row>
    <row r="179" spans="1:5">
      <c r="E179" t="s">
        <v>312</v>
      </c>
    </row>
    <row r="180" spans="1:5">
      <c r="E180" t="s">
        <v>313</v>
      </c>
    </row>
    <row r="181" spans="1:5">
      <c r="E181" t="s">
        <v>314</v>
      </c>
    </row>
    <row r="182" spans="1:5">
      <c r="E182" t="s">
        <v>315</v>
      </c>
    </row>
    <row r="183" spans="1:5">
      <c r="A183">
        <v>51</v>
      </c>
      <c r="C183" t="s">
        <v>338</v>
      </c>
      <c r="D183" t="s">
        <v>339</v>
      </c>
      <c r="E183" t="s">
        <v>340</v>
      </c>
    </row>
    <row r="184" spans="1:5">
      <c r="E184" t="s">
        <v>316</v>
      </c>
    </row>
    <row r="185" spans="1:5">
      <c r="E185" t="s">
        <v>189</v>
      </c>
    </row>
    <row r="186" spans="1:5">
      <c r="E186" t="s">
        <v>312</v>
      </c>
    </row>
    <row r="187" spans="1:5">
      <c r="E187" t="s">
        <v>137</v>
      </c>
    </row>
    <row r="188" spans="1:5">
      <c r="E188" t="s">
        <v>317</v>
      </c>
    </row>
    <row r="189" spans="1:5">
      <c r="A189">
        <v>52</v>
      </c>
      <c r="C189" t="s">
        <v>341</v>
      </c>
      <c r="D189" t="s">
        <v>342</v>
      </c>
      <c r="E189" t="s">
        <v>343</v>
      </c>
    </row>
    <row r="190" spans="1:5">
      <c r="E190" t="s">
        <v>318</v>
      </c>
    </row>
    <row r="191" spans="1:5">
      <c r="E191" t="s">
        <v>181</v>
      </c>
    </row>
    <row r="192" spans="1:5">
      <c r="E192" t="s">
        <v>307</v>
      </c>
    </row>
    <row r="193" spans="1:5">
      <c r="E193" t="s">
        <v>319</v>
      </c>
    </row>
    <row r="194" spans="1:5">
      <c r="E194" t="s">
        <v>320</v>
      </c>
    </row>
    <row r="195" spans="1:5">
      <c r="A195">
        <v>53</v>
      </c>
      <c r="C195" t="s">
        <v>344</v>
      </c>
      <c r="D195" t="s">
        <v>345</v>
      </c>
      <c r="E195" t="s">
        <v>346</v>
      </c>
    </row>
    <row r="196" spans="1:5">
      <c r="E196" t="s">
        <v>321</v>
      </c>
    </row>
    <row r="197" spans="1:5">
      <c r="E197" t="s">
        <v>117</v>
      </c>
    </row>
    <row r="198" spans="1:5">
      <c r="E198" t="s">
        <v>302</v>
      </c>
    </row>
    <row r="199" spans="1:5">
      <c r="E199" t="s">
        <v>119</v>
      </c>
    </row>
    <row r="200" spans="1:5">
      <c r="E200" t="s">
        <v>322</v>
      </c>
    </row>
    <row r="201" spans="1:5">
      <c r="A201" s="2">
        <v>54</v>
      </c>
      <c r="C201" t="s">
        <v>347</v>
      </c>
      <c r="D201" t="s">
        <v>348</v>
      </c>
      <c r="E201" t="s">
        <v>349</v>
      </c>
    </row>
    <row r="202" spans="1:5">
      <c r="E202" t="s">
        <v>323</v>
      </c>
    </row>
    <row r="203" spans="1:5">
      <c r="E203" s="2" t="s">
        <v>185</v>
      </c>
    </row>
    <row r="204" spans="1:5">
      <c r="E204" t="s">
        <v>260</v>
      </c>
    </row>
    <row r="205" spans="1:5">
      <c r="E205" t="s">
        <v>324</v>
      </c>
    </row>
    <row r="206" spans="1:5">
      <c r="E206" t="s">
        <v>325</v>
      </c>
    </row>
    <row r="207" spans="1:5">
      <c r="A207" s="2">
        <v>55</v>
      </c>
      <c r="C207" t="s">
        <v>350</v>
      </c>
      <c r="D207" t="s">
        <v>351</v>
      </c>
      <c r="E207" t="s">
        <v>352</v>
      </c>
    </row>
    <row r="208" spans="1:5">
      <c r="E208" t="s">
        <v>326</v>
      </c>
    </row>
    <row r="209" spans="1:7">
      <c r="E209" s="2" t="s">
        <v>144</v>
      </c>
    </row>
    <row r="210" spans="1:7">
      <c r="E210" t="s">
        <v>255</v>
      </c>
    </row>
    <row r="211" spans="1:7">
      <c r="E211" t="s">
        <v>327</v>
      </c>
    </row>
    <row r="212" spans="1:7">
      <c r="E212" t="s">
        <v>328</v>
      </c>
    </row>
    <row r="213" spans="1:7">
      <c r="A213">
        <v>56</v>
      </c>
      <c r="C213" t="s">
        <v>353</v>
      </c>
      <c r="D213" t="s">
        <v>354</v>
      </c>
      <c r="E213" t="s">
        <v>355</v>
      </c>
    </row>
    <row r="214" spans="1:7">
      <c r="E214" t="s">
        <v>329</v>
      </c>
    </row>
    <row r="215" spans="1:7">
      <c r="E215" t="s">
        <v>54</v>
      </c>
    </row>
    <row r="216" spans="1:7">
      <c r="E216" t="s">
        <v>250</v>
      </c>
    </row>
    <row r="217" spans="1:7">
      <c r="E217" t="s">
        <v>55</v>
      </c>
    </row>
    <row r="218" spans="1:7">
      <c r="E218" t="s">
        <v>330</v>
      </c>
    </row>
    <row r="219" spans="1:7">
      <c r="A219">
        <v>57</v>
      </c>
      <c r="C219" t="s">
        <v>356</v>
      </c>
      <c r="D219" t="s">
        <v>357</v>
      </c>
      <c r="E219" t="s">
        <v>27</v>
      </c>
      <c r="F219" t="s">
        <v>100</v>
      </c>
      <c r="G219" t="s">
        <v>358</v>
      </c>
    </row>
    <row r="220" spans="1:7">
      <c r="E220" t="s">
        <v>14</v>
      </c>
    </row>
    <row r="221" spans="1:7">
      <c r="E221" t="s">
        <v>28</v>
      </c>
    </row>
    <row r="222" spans="1:7">
      <c r="E222" t="s">
        <v>331</v>
      </c>
    </row>
    <row r="223" spans="1:7">
      <c r="A223">
        <v>58</v>
      </c>
      <c r="C223" s="1" t="s">
        <v>407</v>
      </c>
      <c r="D223" t="s">
        <v>408</v>
      </c>
      <c r="E223" t="s">
        <v>409</v>
      </c>
      <c r="F223" t="s">
        <v>410</v>
      </c>
      <c r="G223" t="s">
        <v>411</v>
      </c>
    </row>
    <row r="224" spans="1:7">
      <c r="E224" t="s">
        <v>359</v>
      </c>
    </row>
    <row r="225" spans="1:9">
      <c r="E225" t="s">
        <v>360</v>
      </c>
    </row>
    <row r="226" spans="1:9">
      <c r="E226" t="s">
        <v>118</v>
      </c>
    </row>
    <row r="227" spans="1:9">
      <c r="E227" t="s">
        <v>361</v>
      </c>
    </row>
    <row r="228" spans="1:9">
      <c r="A228">
        <v>59</v>
      </c>
      <c r="C228" t="s">
        <v>412</v>
      </c>
      <c r="D228" t="s">
        <v>413</v>
      </c>
      <c r="E228" t="s">
        <v>414</v>
      </c>
      <c r="F228" t="s">
        <v>415</v>
      </c>
      <c r="G228" t="s">
        <v>416</v>
      </c>
    </row>
    <row r="229" spans="1:9">
      <c r="E229" t="s">
        <v>362</v>
      </c>
    </row>
    <row r="230" spans="1:9">
      <c r="E230" t="s">
        <v>363</v>
      </c>
    </row>
    <row r="231" spans="1:9">
      <c r="E231" t="s">
        <v>13</v>
      </c>
    </row>
    <row r="232" spans="1:9">
      <c r="E232" t="s">
        <v>364</v>
      </c>
    </row>
    <row r="233" spans="1:9">
      <c r="A233">
        <v>60</v>
      </c>
      <c r="B233" t="s">
        <v>107</v>
      </c>
    </row>
    <row r="234" spans="1:9">
      <c r="A234">
        <v>61</v>
      </c>
      <c r="C234" t="s">
        <v>417</v>
      </c>
      <c r="D234" t="s">
        <v>418</v>
      </c>
      <c r="E234" t="s">
        <v>419</v>
      </c>
      <c r="F234" t="s">
        <v>420</v>
      </c>
      <c r="G234" t="s">
        <v>130</v>
      </c>
    </row>
    <row r="235" spans="1:9">
      <c r="E235" t="s">
        <v>168</v>
      </c>
    </row>
    <row r="236" spans="1:9">
      <c r="E236" t="s">
        <v>365</v>
      </c>
    </row>
    <row r="237" spans="1:9">
      <c r="A237">
        <v>62</v>
      </c>
      <c r="B237" t="s">
        <v>77</v>
      </c>
    </row>
    <row r="238" spans="1:9">
      <c r="A238">
        <v>63</v>
      </c>
      <c r="C238" t="s">
        <v>421</v>
      </c>
      <c r="D238" t="s">
        <v>422</v>
      </c>
      <c r="E238" t="s">
        <v>367</v>
      </c>
      <c r="F238" t="s">
        <v>369</v>
      </c>
      <c r="G238" t="s">
        <v>423</v>
      </c>
      <c r="I238" t="s">
        <v>424</v>
      </c>
    </row>
    <row r="239" spans="1:9">
      <c r="D239" t="s">
        <v>366</v>
      </c>
      <c r="E239" t="s">
        <v>169</v>
      </c>
      <c r="F239" t="s">
        <v>370</v>
      </c>
    </row>
    <row r="240" spans="1:9">
      <c r="E240" t="s">
        <v>368</v>
      </c>
    </row>
    <row r="241" spans="1:9">
      <c r="A241">
        <v>64</v>
      </c>
      <c r="C241" t="s">
        <v>425</v>
      </c>
      <c r="D241" t="s">
        <v>426</v>
      </c>
      <c r="E241" t="s">
        <v>274</v>
      </c>
      <c r="G241" t="s">
        <v>44</v>
      </c>
    </row>
    <row r="242" spans="1:9">
      <c r="E242" t="s">
        <v>266</v>
      </c>
    </row>
    <row r="243" spans="1:9">
      <c r="E243" t="s">
        <v>371</v>
      </c>
    </row>
    <row r="244" spans="1:9">
      <c r="E244" t="s">
        <v>372</v>
      </c>
    </row>
    <row r="245" spans="1:9">
      <c r="A245">
        <v>65</v>
      </c>
      <c r="C245" t="s">
        <v>427</v>
      </c>
      <c r="D245" t="s">
        <v>428</v>
      </c>
      <c r="E245" t="s">
        <v>374</v>
      </c>
      <c r="F245" t="s">
        <v>376</v>
      </c>
      <c r="G245" t="s">
        <v>90</v>
      </c>
      <c r="I245" t="s">
        <v>25</v>
      </c>
    </row>
    <row r="246" spans="1:9">
      <c r="D246" t="s">
        <v>373</v>
      </c>
      <c r="E246" t="s">
        <v>375</v>
      </c>
      <c r="F246" t="s">
        <v>377</v>
      </c>
    </row>
    <row r="247" spans="1:9">
      <c r="F247" t="s">
        <v>231</v>
      </c>
    </row>
    <row r="248" spans="1:9">
      <c r="A248">
        <v>66</v>
      </c>
      <c r="C248" t="s">
        <v>429</v>
      </c>
      <c r="D248" t="s">
        <v>430</v>
      </c>
      <c r="E248" t="s">
        <v>379</v>
      </c>
      <c r="F248" t="s">
        <v>147</v>
      </c>
      <c r="G248" t="s">
        <v>431</v>
      </c>
      <c r="I248" t="s">
        <v>34</v>
      </c>
    </row>
    <row r="249" spans="1:9">
      <c r="D249" t="s">
        <v>378</v>
      </c>
      <c r="E249" t="s">
        <v>380</v>
      </c>
      <c r="F249" t="s">
        <v>381</v>
      </c>
    </row>
    <row r="250" spans="1:9">
      <c r="F250" t="s">
        <v>32</v>
      </c>
    </row>
    <row r="251" spans="1:9">
      <c r="F251" t="s">
        <v>382</v>
      </c>
    </row>
    <row r="252" spans="1:9">
      <c r="F252" t="s">
        <v>383</v>
      </c>
    </row>
    <row r="253" spans="1:9">
      <c r="A253">
        <v>67</v>
      </c>
      <c r="C253" t="s">
        <v>432</v>
      </c>
      <c r="D253" t="s">
        <v>433</v>
      </c>
      <c r="E253" t="s">
        <v>385</v>
      </c>
      <c r="F253" t="s">
        <v>142</v>
      </c>
      <c r="G253" t="s">
        <v>434</v>
      </c>
      <c r="I253" t="s">
        <v>271</v>
      </c>
    </row>
    <row r="254" spans="1:9">
      <c r="D254" t="s">
        <v>384</v>
      </c>
      <c r="E254" t="s">
        <v>386</v>
      </c>
      <c r="F254" t="s">
        <v>388</v>
      </c>
      <c r="I254" t="s">
        <v>390</v>
      </c>
    </row>
    <row r="255" spans="1:9">
      <c r="E255" t="s">
        <v>37</v>
      </c>
      <c r="F255" t="s">
        <v>23</v>
      </c>
    </row>
    <row r="256" spans="1:9">
      <c r="E256" t="s">
        <v>387</v>
      </c>
      <c r="F256" t="s">
        <v>389</v>
      </c>
    </row>
    <row r="257" spans="1:9">
      <c r="E257" t="s">
        <v>139</v>
      </c>
      <c r="F257" t="s">
        <v>52</v>
      </c>
    </row>
    <row r="258" spans="1:9">
      <c r="A258">
        <v>68</v>
      </c>
      <c r="C258" t="s">
        <v>435</v>
      </c>
      <c r="D258" t="s">
        <v>436</v>
      </c>
      <c r="E258" t="s">
        <v>392</v>
      </c>
      <c r="F258" t="s">
        <v>147</v>
      </c>
      <c r="G258" t="s">
        <v>437</v>
      </c>
      <c r="H258" t="s">
        <v>438</v>
      </c>
      <c r="I258" t="s">
        <v>276</v>
      </c>
    </row>
    <row r="259" spans="1:9">
      <c r="D259" t="s">
        <v>391</v>
      </c>
      <c r="E259" t="s">
        <v>19</v>
      </c>
      <c r="F259" t="s">
        <v>381</v>
      </c>
      <c r="I259" t="s">
        <v>394</v>
      </c>
    </row>
    <row r="260" spans="1:9">
      <c r="E260" t="s">
        <v>393</v>
      </c>
      <c r="F260" t="s">
        <v>32</v>
      </c>
    </row>
    <row r="261" spans="1:9">
      <c r="F261" t="s">
        <v>382</v>
      </c>
    </row>
    <row r="262" spans="1:9">
      <c r="F262" t="s">
        <v>223</v>
      </c>
    </row>
    <row r="263" spans="1:9">
      <c r="A263">
        <v>69</v>
      </c>
      <c r="C263" t="s">
        <v>439</v>
      </c>
      <c r="D263" t="s">
        <v>440</v>
      </c>
      <c r="E263" t="s">
        <v>396</v>
      </c>
      <c r="F263" t="s">
        <v>376</v>
      </c>
      <c r="G263" t="s">
        <v>441</v>
      </c>
      <c r="H263" t="s">
        <v>442</v>
      </c>
      <c r="I263" t="s">
        <v>232</v>
      </c>
    </row>
    <row r="264" spans="1:9">
      <c r="D264" t="s">
        <v>395</v>
      </c>
      <c r="E264" t="s">
        <v>26</v>
      </c>
      <c r="F264" t="s">
        <v>377</v>
      </c>
      <c r="I264" t="s">
        <v>398</v>
      </c>
    </row>
    <row r="265" spans="1:9">
      <c r="E265" t="s">
        <v>397</v>
      </c>
      <c r="F265" t="s">
        <v>231</v>
      </c>
    </row>
    <row r="266" spans="1:9">
      <c r="A266">
        <v>70</v>
      </c>
      <c r="C266" t="s">
        <v>443</v>
      </c>
      <c r="D266" t="s">
        <v>444</v>
      </c>
      <c r="G266" t="s">
        <v>445</v>
      </c>
      <c r="H266" t="s">
        <v>446</v>
      </c>
    </row>
    <row r="267" spans="1:9">
      <c r="H267" t="s">
        <v>399</v>
      </c>
    </row>
    <row r="268" spans="1:9">
      <c r="H268" t="s">
        <v>400</v>
      </c>
    </row>
    <row r="269" spans="1:9">
      <c r="A269">
        <v>71</v>
      </c>
      <c r="C269" t="s">
        <v>447</v>
      </c>
      <c r="D269" t="s">
        <v>448</v>
      </c>
      <c r="G269" t="s">
        <v>270</v>
      </c>
      <c r="H269" t="s">
        <v>449</v>
      </c>
    </row>
    <row r="270" spans="1:9">
      <c r="H270" t="s">
        <v>401</v>
      </c>
    </row>
    <row r="271" spans="1:9">
      <c r="H271" t="s">
        <v>402</v>
      </c>
    </row>
    <row r="272" spans="1:9">
      <c r="A272">
        <v>72</v>
      </c>
      <c r="B272" t="s">
        <v>450</v>
      </c>
    </row>
    <row r="273" spans="1:8">
      <c r="A273">
        <v>73</v>
      </c>
      <c r="B273" t="s">
        <v>451</v>
      </c>
    </row>
    <row r="274" spans="1:8">
      <c r="A274">
        <v>74</v>
      </c>
      <c r="C274" t="s">
        <v>452</v>
      </c>
      <c r="D274" t="s">
        <v>453</v>
      </c>
      <c r="G274" t="s">
        <v>423</v>
      </c>
      <c r="H274" t="s">
        <v>454</v>
      </c>
    </row>
    <row r="275" spans="1:8">
      <c r="D275" t="s">
        <v>403</v>
      </c>
      <c r="H275" t="s">
        <v>404</v>
      </c>
    </row>
    <row r="276" spans="1:8">
      <c r="A276">
        <v>75</v>
      </c>
      <c r="C276" t="s">
        <v>455</v>
      </c>
      <c r="D276" t="s">
        <v>456</v>
      </c>
      <c r="G276" t="s">
        <v>457</v>
      </c>
      <c r="H276" t="s">
        <v>458</v>
      </c>
    </row>
    <row r="277" spans="1:8">
      <c r="D277" t="s">
        <v>405</v>
      </c>
      <c r="H277" t="s">
        <v>406</v>
      </c>
    </row>
    <row r="278" spans="1:8">
      <c r="A278">
        <v>76</v>
      </c>
      <c r="C278" t="s">
        <v>489</v>
      </c>
      <c r="D278" t="s">
        <v>490</v>
      </c>
      <c r="G278" t="s">
        <v>176</v>
      </c>
      <c r="H278" t="s">
        <v>491</v>
      </c>
    </row>
    <row r="279" spans="1:8">
      <c r="D279" t="s">
        <v>459</v>
      </c>
      <c r="H279" t="s">
        <v>460</v>
      </c>
    </row>
    <row r="280" spans="1:8">
      <c r="A280">
        <v>77</v>
      </c>
      <c r="C280" t="s">
        <v>492</v>
      </c>
      <c r="D280" t="s">
        <v>493</v>
      </c>
      <c r="G280" t="s">
        <v>90</v>
      </c>
      <c r="H280" t="s">
        <v>494</v>
      </c>
    </row>
    <row r="281" spans="1:8">
      <c r="D281" t="s">
        <v>461</v>
      </c>
      <c r="H281" t="s">
        <v>462</v>
      </c>
    </row>
    <row r="282" spans="1:8">
      <c r="A282">
        <v>78</v>
      </c>
      <c r="C282" t="s">
        <v>495</v>
      </c>
      <c r="D282" t="s">
        <v>496</v>
      </c>
      <c r="G282" t="s">
        <v>497</v>
      </c>
      <c r="H282" t="s">
        <v>498</v>
      </c>
    </row>
    <row r="283" spans="1:8">
      <c r="D283" t="s">
        <v>463</v>
      </c>
      <c r="H283" t="s">
        <v>464</v>
      </c>
    </row>
    <row r="284" spans="1:8">
      <c r="A284">
        <v>79</v>
      </c>
      <c r="C284" t="s">
        <v>499</v>
      </c>
      <c r="D284" t="s">
        <v>500</v>
      </c>
      <c r="G284" t="s">
        <v>83</v>
      </c>
      <c r="H284" t="s">
        <v>501</v>
      </c>
    </row>
    <row r="285" spans="1:8">
      <c r="D285" t="s">
        <v>465</v>
      </c>
      <c r="H285" t="s">
        <v>466</v>
      </c>
    </row>
    <row r="286" spans="1:8">
      <c r="A286">
        <v>80</v>
      </c>
      <c r="C286" t="s">
        <v>502</v>
      </c>
      <c r="D286" t="s">
        <v>503</v>
      </c>
      <c r="G286" t="s">
        <v>275</v>
      </c>
      <c r="H286" t="s">
        <v>504</v>
      </c>
    </row>
    <row r="287" spans="1:8">
      <c r="D287" t="s">
        <v>467</v>
      </c>
      <c r="H287" t="s">
        <v>468</v>
      </c>
    </row>
    <row r="288" spans="1:8">
      <c r="A288">
        <v>81</v>
      </c>
      <c r="C288" t="s">
        <v>505</v>
      </c>
      <c r="G288" t="s">
        <v>74</v>
      </c>
      <c r="H288" t="s">
        <v>506</v>
      </c>
    </row>
    <row r="289" spans="1:8">
      <c r="H289" t="s">
        <v>469</v>
      </c>
    </row>
    <row r="290" spans="1:8">
      <c r="A290">
        <v>82</v>
      </c>
      <c r="C290" t="s">
        <v>507</v>
      </c>
      <c r="H290" t="s">
        <v>508</v>
      </c>
    </row>
    <row r="291" spans="1:8">
      <c r="A291">
        <v>83</v>
      </c>
      <c r="C291" t="s">
        <v>509</v>
      </c>
      <c r="H291" t="s">
        <v>510</v>
      </c>
    </row>
    <row r="292" spans="1:8">
      <c r="H292" t="s">
        <v>470</v>
      </c>
    </row>
    <row r="293" spans="1:8">
      <c r="H293" t="s">
        <v>471</v>
      </c>
    </row>
    <row r="294" spans="1:8">
      <c r="A294">
        <v>84</v>
      </c>
      <c r="C294" t="s">
        <v>511</v>
      </c>
      <c r="H294" t="s">
        <v>512</v>
      </c>
    </row>
    <row r="295" spans="1:8">
      <c r="H295" t="s">
        <v>472</v>
      </c>
    </row>
    <row r="296" spans="1:8">
      <c r="H296" t="s">
        <v>473</v>
      </c>
    </row>
    <row r="297" spans="1:8">
      <c r="A297">
        <v>85</v>
      </c>
      <c r="C297" t="s">
        <v>513</v>
      </c>
      <c r="H297" t="s">
        <v>514</v>
      </c>
    </row>
    <row r="298" spans="1:8">
      <c r="H298" t="s">
        <v>474</v>
      </c>
    </row>
    <row r="299" spans="1:8">
      <c r="H299" t="s">
        <v>475</v>
      </c>
    </row>
    <row r="300" spans="1:8">
      <c r="A300">
        <v>86</v>
      </c>
      <c r="C300" t="s">
        <v>515</v>
      </c>
      <c r="H300" t="s">
        <v>516</v>
      </c>
    </row>
    <row r="301" spans="1:8">
      <c r="H301" t="s">
        <v>476</v>
      </c>
    </row>
    <row r="302" spans="1:8">
      <c r="A302">
        <v>87</v>
      </c>
      <c r="C302" t="s">
        <v>517</v>
      </c>
      <c r="H302" t="s">
        <v>518</v>
      </c>
    </row>
    <row r="303" spans="1:8">
      <c r="A303">
        <v>88</v>
      </c>
      <c r="C303" t="s">
        <v>519</v>
      </c>
      <c r="H303" t="s">
        <v>520</v>
      </c>
    </row>
    <row r="304" spans="1:8">
      <c r="H304" t="s">
        <v>477</v>
      </c>
    </row>
    <row r="305" spans="1:9">
      <c r="H305" t="s">
        <v>478</v>
      </c>
    </row>
    <row r="306" spans="1:9">
      <c r="A306">
        <v>89</v>
      </c>
      <c r="C306" t="s">
        <v>521</v>
      </c>
      <c r="H306" t="s">
        <v>522</v>
      </c>
    </row>
    <row r="307" spans="1:9">
      <c r="H307" t="s">
        <v>479</v>
      </c>
    </row>
    <row r="308" spans="1:9">
      <c r="H308" t="s">
        <v>480</v>
      </c>
    </row>
    <row r="309" spans="1:9">
      <c r="A309">
        <v>90</v>
      </c>
      <c r="C309" t="s">
        <v>523</v>
      </c>
      <c r="H309" t="s">
        <v>524</v>
      </c>
    </row>
    <row r="310" spans="1:9">
      <c r="H310" t="s">
        <v>481</v>
      </c>
    </row>
    <row r="311" spans="1:9">
      <c r="H311" t="s">
        <v>482</v>
      </c>
    </row>
    <row r="312" spans="1:9">
      <c r="A312">
        <v>91</v>
      </c>
      <c r="C312" t="s">
        <v>525</v>
      </c>
      <c r="H312" t="s">
        <v>526</v>
      </c>
    </row>
    <row r="313" spans="1:9">
      <c r="H313" t="s">
        <v>483</v>
      </c>
    </row>
    <row r="314" spans="1:9">
      <c r="A314">
        <v>92</v>
      </c>
      <c r="B314" t="s">
        <v>527</v>
      </c>
    </row>
    <row r="315" spans="1:9">
      <c r="A315">
        <v>93</v>
      </c>
      <c r="B315" t="s">
        <v>528</v>
      </c>
    </row>
    <row r="316" spans="1:9">
      <c r="A316">
        <v>94</v>
      </c>
      <c r="B316" t="s">
        <v>529</v>
      </c>
    </row>
    <row r="317" spans="1:9">
      <c r="A317">
        <v>95</v>
      </c>
      <c r="B317" t="s">
        <v>530</v>
      </c>
    </row>
    <row r="318" spans="1:9">
      <c r="A318">
        <v>96</v>
      </c>
      <c r="C318" t="s">
        <v>531</v>
      </c>
      <c r="D318" t="s">
        <v>532</v>
      </c>
      <c r="E318" t="s">
        <v>374</v>
      </c>
      <c r="F318" t="s">
        <v>533</v>
      </c>
      <c r="G318" t="s">
        <v>497</v>
      </c>
      <c r="I318" t="s">
        <v>534</v>
      </c>
    </row>
    <row r="319" spans="1:9">
      <c r="E319" t="s">
        <v>139</v>
      </c>
    </row>
    <row r="320" spans="1:9">
      <c r="A320">
        <v>97</v>
      </c>
      <c r="C320" t="s">
        <v>535</v>
      </c>
      <c r="D320" t="s">
        <v>536</v>
      </c>
      <c r="E320" t="s">
        <v>379</v>
      </c>
      <c r="F320" t="s">
        <v>171</v>
      </c>
      <c r="I320" t="s">
        <v>486</v>
      </c>
    </row>
    <row r="321" spans="1:9">
      <c r="E321" t="s">
        <v>484</v>
      </c>
      <c r="F321" t="s">
        <v>485</v>
      </c>
    </row>
    <row r="322" spans="1:9">
      <c r="F322" t="s">
        <v>32</v>
      </c>
    </row>
    <row r="323" spans="1:9">
      <c r="F323" t="s">
        <v>33</v>
      </c>
    </row>
    <row r="324" spans="1:9">
      <c r="A324">
        <v>98</v>
      </c>
      <c r="C324" t="s">
        <v>537</v>
      </c>
      <c r="D324" t="s">
        <v>538</v>
      </c>
      <c r="E324" t="s">
        <v>539</v>
      </c>
      <c r="F324" t="s">
        <v>217</v>
      </c>
      <c r="G324" t="s">
        <v>176</v>
      </c>
      <c r="I324" t="s">
        <v>424</v>
      </c>
    </row>
    <row r="325" spans="1:9">
      <c r="E325" t="s">
        <v>487</v>
      </c>
      <c r="F325" t="s">
        <v>488</v>
      </c>
    </row>
    <row r="326" spans="1:9">
      <c r="F326" t="s">
        <v>23</v>
      </c>
    </row>
    <row r="327" spans="1:9">
      <c r="F327" t="s">
        <v>24</v>
      </c>
    </row>
    <row r="328" spans="1:9">
      <c r="A328">
        <v>99</v>
      </c>
      <c r="C328" t="s">
        <v>546</v>
      </c>
      <c r="D328" t="s">
        <v>547</v>
      </c>
      <c r="E328" t="s">
        <v>548</v>
      </c>
      <c r="G328" t="s">
        <v>542</v>
      </c>
    </row>
    <row r="329" spans="1:9">
      <c r="E329" t="s">
        <v>359</v>
      </c>
    </row>
    <row r="330" spans="1:9">
      <c r="E330" t="s">
        <v>35</v>
      </c>
    </row>
    <row r="331" spans="1:9">
      <c r="E331" t="s">
        <v>73</v>
      </c>
    </row>
    <row r="332" spans="1:9">
      <c r="E332" t="s">
        <v>118</v>
      </c>
    </row>
    <row r="333" spans="1:9">
      <c r="E333" t="s">
        <v>27</v>
      </c>
    </row>
    <row r="334" spans="1:9">
      <c r="E334" t="s">
        <v>145</v>
      </c>
    </row>
    <row r="335" spans="1:9">
      <c r="E335" t="s">
        <v>540</v>
      </c>
    </row>
    <row r="336" spans="1:9">
      <c r="E336" t="s">
        <v>541</v>
      </c>
    </row>
    <row r="337" spans="1:7">
      <c r="A337">
        <v>100</v>
      </c>
      <c r="C337" t="s">
        <v>549</v>
      </c>
      <c r="E337" t="s">
        <v>550</v>
      </c>
      <c r="F337" t="s">
        <v>551</v>
      </c>
      <c r="G337" t="s">
        <v>552</v>
      </c>
    </row>
    <row r="338" spans="1:7">
      <c r="E338" t="s">
        <v>543</v>
      </c>
    </row>
    <row r="339" spans="1:7">
      <c r="E339" t="s">
        <v>37</v>
      </c>
    </row>
    <row r="340" spans="1:7">
      <c r="E340" t="s">
        <v>14</v>
      </c>
    </row>
    <row r="341" spans="1:7">
      <c r="E341" t="s">
        <v>544</v>
      </c>
    </row>
    <row r="342" spans="1:7">
      <c r="E342" t="s">
        <v>545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DEE2-2048-463D-AAFD-B96D629CC4BF}">
  <sheetPr codeName="Sheet2"/>
  <dimension ref="B1:V15"/>
  <sheetViews>
    <sheetView workbookViewId="0">
      <selection activeCell="I19" sqref="I19"/>
    </sheetView>
  </sheetViews>
  <sheetFormatPr defaultRowHeight="18.75"/>
  <cols>
    <col min="6" max="6" width="2.5" bestFit="1" customWidth="1"/>
    <col min="7" max="7" width="2.75" bestFit="1" customWidth="1"/>
    <col min="8" max="9" width="2.875" bestFit="1" customWidth="1"/>
    <col min="10" max="14" width="2.5" bestFit="1" customWidth="1"/>
    <col min="15" max="18" width="3.5" bestFit="1" customWidth="1"/>
    <col min="19" max="19" width="5.5" bestFit="1" customWidth="1"/>
    <col min="21" max="21" width="10" bestFit="1" customWidth="1"/>
  </cols>
  <sheetData>
    <row r="1" spans="2:22"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</row>
    <row r="2" spans="2:22">
      <c r="B2" t="s">
        <v>563</v>
      </c>
      <c r="F2">
        <v>1</v>
      </c>
      <c r="G2" t="s">
        <v>553</v>
      </c>
      <c r="H2" t="s">
        <v>554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2</v>
      </c>
      <c r="P2">
        <v>3</v>
      </c>
      <c r="Q2">
        <v>0</v>
      </c>
      <c r="R2">
        <v>0</v>
      </c>
      <c r="S2" t="s">
        <v>560</v>
      </c>
    </row>
    <row r="3" spans="2:22">
      <c r="B3" t="s">
        <v>562</v>
      </c>
      <c r="F3">
        <v>1</v>
      </c>
      <c r="G3" t="s">
        <v>555</v>
      </c>
      <c r="H3" t="s">
        <v>554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5</v>
      </c>
      <c r="R3">
        <v>0</v>
      </c>
      <c r="S3" t="s">
        <v>560</v>
      </c>
    </row>
    <row r="4" spans="2:22">
      <c r="B4" t="s">
        <v>561</v>
      </c>
      <c r="F4">
        <v>1</v>
      </c>
      <c r="G4" t="s">
        <v>555</v>
      </c>
      <c r="H4" t="s">
        <v>556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5</v>
      </c>
      <c r="R4">
        <v>0</v>
      </c>
      <c r="S4" t="s">
        <v>560</v>
      </c>
    </row>
    <row r="5" spans="2:22">
      <c r="B5" t="s">
        <v>564</v>
      </c>
      <c r="F5">
        <v>1</v>
      </c>
      <c r="G5" t="s">
        <v>556</v>
      </c>
      <c r="H5" t="s">
        <v>553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 t="s">
        <v>560</v>
      </c>
    </row>
    <row r="6" spans="2:22">
      <c r="B6" t="s">
        <v>566</v>
      </c>
      <c r="F6">
        <v>1</v>
      </c>
      <c r="G6" t="s">
        <v>558</v>
      </c>
      <c r="H6" t="s">
        <v>553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 t="s">
        <v>560</v>
      </c>
    </row>
    <row r="7" spans="2:22">
      <c r="B7" t="s">
        <v>565</v>
      </c>
      <c r="F7">
        <v>1</v>
      </c>
      <c r="G7" t="s">
        <v>556</v>
      </c>
      <c r="H7" t="s">
        <v>559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 t="s">
        <v>560</v>
      </c>
    </row>
    <row r="8" spans="2:22">
      <c r="B8" t="s">
        <v>569</v>
      </c>
      <c r="F8">
        <v>1</v>
      </c>
      <c r="G8" t="s">
        <v>555</v>
      </c>
      <c r="H8" t="s">
        <v>553</v>
      </c>
      <c r="I8" t="s">
        <v>557</v>
      </c>
      <c r="J8" t="s">
        <v>556</v>
      </c>
      <c r="K8" t="s">
        <v>553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560</v>
      </c>
    </row>
    <row r="9" spans="2:22">
      <c r="B9" t="s">
        <v>570</v>
      </c>
      <c r="F9">
        <v>1</v>
      </c>
      <c r="G9" t="s">
        <v>555</v>
      </c>
      <c r="H9" t="s">
        <v>553</v>
      </c>
      <c r="I9" t="s">
        <v>567</v>
      </c>
      <c r="J9" t="s">
        <v>558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560</v>
      </c>
    </row>
    <row r="12" spans="2:22">
      <c r="U12" t="s">
        <v>568</v>
      </c>
    </row>
    <row r="13" spans="2:22">
      <c r="U13" t="s">
        <v>571</v>
      </c>
    </row>
    <row r="15" spans="2:22">
      <c r="U15">
        <f>1/(160*1000000)</f>
        <v>6.2499999999999997E-9</v>
      </c>
      <c r="V15">
        <f>U15*16000*1000</f>
        <v>9.9999999999999992E-2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16CE7-2480-4AE4-B9D3-CAA3E8B9F193}">
  <sheetPr codeName="setsht"/>
  <dimension ref="A1:AB1023"/>
  <sheetViews>
    <sheetView tabSelected="1" workbookViewId="0">
      <selection activeCell="K27" sqref="K27"/>
    </sheetView>
  </sheetViews>
  <sheetFormatPr defaultRowHeight="18.75"/>
  <cols>
    <col min="2" max="2" width="30.625" bestFit="1" customWidth="1"/>
    <col min="3" max="3" width="9.375" bestFit="1" customWidth="1"/>
    <col min="18" max="18" width="9" bestFit="1" customWidth="1"/>
    <col min="19" max="19" width="10" bestFit="1" customWidth="1"/>
    <col min="22" max="22" width="9" customWidth="1"/>
  </cols>
  <sheetData>
    <row r="1" spans="1:28">
      <c r="A1" t="s">
        <v>572</v>
      </c>
      <c r="B1" s="5" t="s">
        <v>601</v>
      </c>
      <c r="C1" t="s">
        <v>589</v>
      </c>
      <c r="D1">
        <f>IFERROR(INDEX(G1:G23,MATCH(B1,F1:F23,0)),"")</f>
        <v>8</v>
      </c>
      <c r="F1" s="9" t="s">
        <v>600</v>
      </c>
      <c r="G1" s="9">
        <v>3</v>
      </c>
      <c r="H1" s="9"/>
    </row>
    <row r="2" spans="1:28">
      <c r="A2" s="5">
        <v>200</v>
      </c>
      <c r="B2" t="s">
        <v>591</v>
      </c>
      <c r="C2" t="str">
        <f>ROUNDDOWN(150/A9*1.8/360*60,0)&amp;"-"&amp; ROUNDDOWN(65535/A9*1.8/360*60,0)</f>
        <v>5-2457</v>
      </c>
      <c r="F2" s="9" t="s">
        <v>595</v>
      </c>
      <c r="G2" s="9">
        <v>8</v>
      </c>
      <c r="H2" s="9"/>
      <c r="K2" s="7" t="s">
        <v>583</v>
      </c>
      <c r="L2">
        <v>4</v>
      </c>
      <c r="N2">
        <v>0</v>
      </c>
      <c r="O2">
        <f>MOD(P2,$A$5+$A$6)</f>
        <v>0</v>
      </c>
      <c r="P2">
        <f>N2*10</f>
        <v>0</v>
      </c>
      <c r="Q2">
        <f>IF(O2&gt;$A$5,0,IF(O2&lt;$A$4,O2/($A$4)*($A$2-$A$3)+$A$3,IF($A$5-O2&lt;$A$4,($A$5-O2)/($A$4)*($A$2-$A$3)+$A$3,$A$2)))</f>
        <v>5</v>
      </c>
      <c r="R2" s="4">
        <f>IFERROR(160*1000*1000/Q2,0)</f>
        <v>32000000</v>
      </c>
      <c r="S2" s="3">
        <f>IFERROR(160*1000*1000/R2,0)</f>
        <v>5</v>
      </c>
      <c r="T2" t="str">
        <f>DEC2HEX(R2)</f>
        <v>1E84800</v>
      </c>
      <c r="V2">
        <v>0</v>
      </c>
      <c r="W2">
        <f t="shared" ref="W2:W33" si="0">MOD(X2,$A$14+$A$15)</f>
        <v>0</v>
      </c>
      <c r="X2">
        <f>V2*10</f>
        <v>0</v>
      </c>
      <c r="Y2">
        <f t="shared" ref="Y2:Y33" si="1">IF(W2&gt;$A$14,0,IF(W2&lt;$A$13,W2/($A$13)*($A$11-$A$12)+$A$12,IF($A$14-W2&lt;$A$13,($A$14-W2)/($A$13)*($A$11-$A$12)+$A$12,$A$11)))</f>
        <v>5</v>
      </c>
      <c r="Z2" s="4">
        <f t="shared" ref="Z2:AA18" si="2">IFERROR(160*1000*1000/Y2,0)</f>
        <v>32000000</v>
      </c>
      <c r="AA2" s="3">
        <f t="shared" si="2"/>
        <v>5</v>
      </c>
      <c r="AB2" t="str">
        <f>DEC2HEX(Z2)</f>
        <v>1E84800</v>
      </c>
    </row>
    <row r="3" spans="1:28">
      <c r="A3" s="5">
        <v>5</v>
      </c>
      <c r="B3" t="s">
        <v>592</v>
      </c>
      <c r="C3" t="str">
        <f>ROUNDDOWN(150/A9*1.8/360*60,0)&amp;"-"&amp; ROUNDDOWN(65535/A9*1.8/360*60,0)</f>
        <v>5-2457</v>
      </c>
      <c r="F3" s="9"/>
      <c r="G3" s="9"/>
      <c r="H3" s="9"/>
      <c r="K3" s="7" t="s">
        <v>582</v>
      </c>
      <c r="L3">
        <v>8</v>
      </c>
      <c r="N3">
        <v>1</v>
      </c>
      <c r="O3">
        <f t="shared" ref="O3:O66" si="3">MOD(P3,$A$5+$A$6)</f>
        <v>10</v>
      </c>
      <c r="P3">
        <f t="shared" ref="P3:P4" si="4">N3*10</f>
        <v>10</v>
      </c>
      <c r="Q3">
        <f t="shared" ref="Q3:Q4" si="5">IF(O3&gt;$A$5,0,IF(O3&lt;$A$4,O3/($A$4)*($A$2-$A$3)+$A$3,IF($A$5-O3&lt;$A$4,($A$5-O3)/($A$4)*($A$2-$A$3)+$A$3,$A$2)))</f>
        <v>12.8</v>
      </c>
      <c r="R3" s="4">
        <f t="shared" ref="R3:S4" si="6">IFERROR(160*1000*1000/Q3,0)</f>
        <v>12500000</v>
      </c>
      <c r="S3" s="3">
        <f t="shared" si="6"/>
        <v>12.8</v>
      </c>
      <c r="T3" t="str">
        <f t="shared" ref="T3:T4" si="7">DEC2HEX(R3)</f>
        <v>BEBC20</v>
      </c>
      <c r="V3">
        <v>1</v>
      </c>
      <c r="W3">
        <f t="shared" si="0"/>
        <v>10</v>
      </c>
      <c r="X3">
        <f t="shared" ref="X3:X63" si="8">V3*10</f>
        <v>10</v>
      </c>
      <c r="Y3">
        <f t="shared" si="1"/>
        <v>6.833333333333333</v>
      </c>
      <c r="Z3" s="4">
        <f t="shared" si="2"/>
        <v>23414634.146341465</v>
      </c>
      <c r="AA3" s="3">
        <f t="shared" si="2"/>
        <v>6.833333333333333</v>
      </c>
      <c r="AB3" t="str">
        <f>DEC2HEX(Z3)</f>
        <v>165476A</v>
      </c>
    </row>
    <row r="4" spans="1:28">
      <c r="A4" s="5">
        <v>250</v>
      </c>
      <c r="B4" t="s">
        <v>561</v>
      </c>
      <c r="C4" t="s">
        <v>586</v>
      </c>
      <c r="F4" s="9"/>
      <c r="G4" s="9"/>
      <c r="H4" s="9"/>
      <c r="K4" s="7" t="s">
        <v>584</v>
      </c>
      <c r="L4">
        <v>16</v>
      </c>
      <c r="N4">
        <v>2</v>
      </c>
      <c r="O4">
        <f t="shared" si="3"/>
        <v>20</v>
      </c>
      <c r="P4">
        <f t="shared" si="4"/>
        <v>20</v>
      </c>
      <c r="Q4">
        <f t="shared" si="5"/>
        <v>20.6</v>
      </c>
      <c r="R4" s="4">
        <f t="shared" si="6"/>
        <v>7766990.2912621358</v>
      </c>
      <c r="S4" s="3">
        <f t="shared" si="6"/>
        <v>20.6</v>
      </c>
      <c r="T4" t="str">
        <f t="shared" si="7"/>
        <v>7683CE</v>
      </c>
      <c r="V4">
        <v>2</v>
      </c>
      <c r="W4">
        <f t="shared" si="0"/>
        <v>20</v>
      </c>
      <c r="X4">
        <f t="shared" si="8"/>
        <v>20</v>
      </c>
      <c r="Y4">
        <f t="shared" si="1"/>
        <v>8.6666666666666661</v>
      </c>
      <c r="Z4" s="4">
        <f t="shared" si="2"/>
        <v>18461538.461538464</v>
      </c>
      <c r="AA4" s="3">
        <f t="shared" si="2"/>
        <v>8.6666666666666661</v>
      </c>
      <c r="AB4" t="str">
        <f>DEC2HEX(Z4)</f>
        <v>119B362</v>
      </c>
    </row>
    <row r="5" spans="1:28">
      <c r="A5" s="5">
        <v>1500</v>
      </c>
      <c r="B5" t="s">
        <v>564</v>
      </c>
      <c r="C5" t="s">
        <v>586</v>
      </c>
      <c r="F5" s="9"/>
      <c r="G5" s="9"/>
      <c r="H5" s="9"/>
      <c r="K5" s="7" t="s">
        <v>585</v>
      </c>
      <c r="L5">
        <v>32</v>
      </c>
      <c r="N5">
        <v>3</v>
      </c>
      <c r="O5">
        <f>MOD(P5,$A$5+$A$6)</f>
        <v>30</v>
      </c>
      <c r="P5">
        <f t="shared" ref="P5:P10" si="9">N5*10</f>
        <v>30</v>
      </c>
      <c r="Q5">
        <f t="shared" ref="Q5:Q10" si="10">IF(O5&gt;$A$5,0,IF(O5&lt;$A$4,O5/($A$4)*($A$2-$A$3)+$A$3,IF($A$5-O5&lt;$A$4,($A$5-O5)/($A$4)*($A$2-$A$3)+$A$3,$A$2)))</f>
        <v>28.4</v>
      </c>
      <c r="R5" s="4">
        <f t="shared" ref="R5:R10" si="11">IFERROR(160*1000*1000/Q5,0)</f>
        <v>5633802.8169014091</v>
      </c>
      <c r="S5" s="3">
        <f t="shared" ref="S5:S10" si="12">IFERROR(160*1000*1000/R5,0)</f>
        <v>28.4</v>
      </c>
      <c r="T5" t="str">
        <f t="shared" ref="T5:T10" si="13">DEC2HEX(R5)</f>
        <v>55F70A</v>
      </c>
      <c r="V5">
        <v>3</v>
      </c>
      <c r="W5">
        <f t="shared" si="0"/>
        <v>30</v>
      </c>
      <c r="X5">
        <f>V5*10</f>
        <v>30</v>
      </c>
      <c r="Y5">
        <f t="shared" si="1"/>
        <v>10.5</v>
      </c>
      <c r="Z5" s="4">
        <f t="shared" ref="Z5" si="14">IFERROR(160*1000*1000/Y5,0)</f>
        <v>15238095.238095239</v>
      </c>
      <c r="AA5" s="3">
        <f t="shared" ref="AA5" si="15">IFERROR(160*1000*1000/Z5,0)</f>
        <v>10.5</v>
      </c>
      <c r="AB5" t="str">
        <f>DEC2HEX(Z5)</f>
        <v>E883CF</v>
      </c>
    </row>
    <row r="6" spans="1:28">
      <c r="A6" s="5">
        <v>500</v>
      </c>
      <c r="B6" t="s">
        <v>566</v>
      </c>
      <c r="C6" t="s">
        <v>586</v>
      </c>
      <c r="F6" s="9"/>
      <c r="G6" s="9"/>
      <c r="H6" s="9"/>
      <c r="N6">
        <v>4</v>
      </c>
      <c r="O6">
        <f t="shared" ref="O6" si="16">MOD(P6,$A$5+$A$6)</f>
        <v>40</v>
      </c>
      <c r="P6">
        <f t="shared" si="9"/>
        <v>40</v>
      </c>
      <c r="Q6">
        <f t="shared" si="10"/>
        <v>36.200000000000003</v>
      </c>
      <c r="R6" s="4">
        <f t="shared" si="11"/>
        <v>4419889.5027624303</v>
      </c>
      <c r="S6" s="3">
        <f t="shared" si="12"/>
        <v>36.200000000000003</v>
      </c>
      <c r="T6" t="str">
        <f t="shared" si="13"/>
        <v>437131</v>
      </c>
      <c r="V6">
        <v>4</v>
      </c>
      <c r="W6">
        <f t="shared" si="0"/>
        <v>40</v>
      </c>
      <c r="X6">
        <f t="shared" si="8"/>
        <v>40</v>
      </c>
      <c r="Y6">
        <f t="shared" si="1"/>
        <v>12.333333333333332</v>
      </c>
      <c r="Z6" s="4">
        <f t="shared" si="2"/>
        <v>12972972.972972974</v>
      </c>
      <c r="AA6" s="3">
        <f t="shared" si="2"/>
        <v>12.333333333333332</v>
      </c>
      <c r="AB6" t="str">
        <f t="shared" ref="AB6:AB65" si="17">DEC2HEX(Z6)</f>
        <v>C5F3AC</v>
      </c>
    </row>
    <row r="7" spans="1:28">
      <c r="A7" s="5">
        <v>1</v>
      </c>
      <c r="B7" t="s">
        <v>565</v>
      </c>
      <c r="C7" t="s">
        <v>587</v>
      </c>
      <c r="F7" s="9"/>
      <c r="G7" s="9"/>
      <c r="H7" s="9"/>
      <c r="N7">
        <v>5</v>
      </c>
      <c r="O7">
        <f t="shared" si="3"/>
        <v>50</v>
      </c>
      <c r="P7">
        <f t="shared" si="9"/>
        <v>50</v>
      </c>
      <c r="Q7">
        <f t="shared" si="10"/>
        <v>44</v>
      </c>
      <c r="R7" s="4">
        <f t="shared" si="11"/>
        <v>3636363.6363636362</v>
      </c>
      <c r="S7" s="3">
        <f t="shared" si="12"/>
        <v>44</v>
      </c>
      <c r="T7" t="str">
        <f t="shared" si="13"/>
        <v>377C8B</v>
      </c>
      <c r="V7">
        <v>5</v>
      </c>
      <c r="W7">
        <f t="shared" si="0"/>
        <v>50</v>
      </c>
      <c r="X7">
        <f t="shared" si="8"/>
        <v>50</v>
      </c>
      <c r="Y7">
        <f t="shared" si="1"/>
        <v>14.166666666666666</v>
      </c>
      <c r="Z7" s="4">
        <f t="shared" si="2"/>
        <v>11294117.647058824</v>
      </c>
      <c r="AA7" s="3">
        <f t="shared" si="2"/>
        <v>14.166666666666666</v>
      </c>
      <c r="AB7" t="str">
        <f t="shared" si="17"/>
        <v>AC55A5</v>
      </c>
    </row>
    <row r="8" spans="1:28">
      <c r="A8" s="5" t="s">
        <v>581</v>
      </c>
      <c r="B8" t="s">
        <v>588</v>
      </c>
      <c r="C8" t="s">
        <v>590</v>
      </c>
      <c r="N8">
        <v>6</v>
      </c>
      <c r="O8">
        <f t="shared" si="3"/>
        <v>60</v>
      </c>
      <c r="P8">
        <f t="shared" si="9"/>
        <v>60</v>
      </c>
      <c r="Q8">
        <f t="shared" si="10"/>
        <v>51.8</v>
      </c>
      <c r="R8" s="4">
        <f t="shared" si="11"/>
        <v>3088803.0888030888</v>
      </c>
      <c r="S8" s="3">
        <f t="shared" si="12"/>
        <v>51.800000000000004</v>
      </c>
      <c r="T8" t="str">
        <f t="shared" si="13"/>
        <v>2F21A3</v>
      </c>
      <c r="V8">
        <v>6</v>
      </c>
      <c r="W8">
        <f t="shared" si="0"/>
        <v>60</v>
      </c>
      <c r="X8">
        <f t="shared" si="8"/>
        <v>60</v>
      </c>
      <c r="Y8">
        <f t="shared" si="1"/>
        <v>16</v>
      </c>
      <c r="Z8" s="4">
        <f t="shared" si="2"/>
        <v>10000000</v>
      </c>
      <c r="AA8" s="3">
        <f t="shared" si="2"/>
        <v>16</v>
      </c>
      <c r="AB8" t="str">
        <f t="shared" si="17"/>
        <v>989680</v>
      </c>
    </row>
    <row r="9" spans="1:28">
      <c r="A9" s="6">
        <f>INDEX($L$2:$L$5,MATCH(A8,$K$2:$K$5,0))</f>
        <v>8</v>
      </c>
      <c r="N9">
        <v>7</v>
      </c>
      <c r="O9">
        <f t="shared" si="3"/>
        <v>70</v>
      </c>
      <c r="P9">
        <f t="shared" si="9"/>
        <v>70</v>
      </c>
      <c r="Q9">
        <f t="shared" si="10"/>
        <v>59.600000000000009</v>
      </c>
      <c r="R9" s="4">
        <f t="shared" si="11"/>
        <v>2684563.7583892616</v>
      </c>
      <c r="S9" s="3">
        <f t="shared" si="12"/>
        <v>59.6</v>
      </c>
      <c r="T9" t="str">
        <f t="shared" si="13"/>
        <v>28F693</v>
      </c>
      <c r="V9">
        <v>7</v>
      </c>
      <c r="W9">
        <f t="shared" si="0"/>
        <v>70</v>
      </c>
      <c r="X9">
        <f t="shared" si="8"/>
        <v>70</v>
      </c>
      <c r="Y9">
        <f t="shared" si="1"/>
        <v>17.833333333333336</v>
      </c>
      <c r="Z9" s="4">
        <f t="shared" si="2"/>
        <v>8971962.616822429</v>
      </c>
      <c r="AA9" s="3">
        <f t="shared" si="2"/>
        <v>17.833333333333336</v>
      </c>
      <c r="AB9" t="str">
        <f t="shared" si="17"/>
        <v>88E6BA</v>
      </c>
    </row>
    <row r="10" spans="1:28">
      <c r="A10" s="6"/>
      <c r="N10">
        <v>8</v>
      </c>
      <c r="O10">
        <f t="shared" si="3"/>
        <v>80</v>
      </c>
      <c r="P10">
        <f t="shared" si="9"/>
        <v>80</v>
      </c>
      <c r="Q10">
        <f t="shared" si="10"/>
        <v>67.400000000000006</v>
      </c>
      <c r="R10" s="4">
        <f t="shared" si="11"/>
        <v>2373887.240356083</v>
      </c>
      <c r="S10" s="3">
        <f t="shared" si="12"/>
        <v>67.400000000000006</v>
      </c>
      <c r="T10" t="str">
        <f t="shared" si="13"/>
        <v>2438FF</v>
      </c>
      <c r="V10">
        <v>8</v>
      </c>
      <c r="W10">
        <f t="shared" si="0"/>
        <v>80</v>
      </c>
      <c r="X10">
        <f t="shared" si="8"/>
        <v>80</v>
      </c>
      <c r="Y10">
        <f t="shared" si="1"/>
        <v>19.666666666666664</v>
      </c>
      <c r="Z10" s="4">
        <f t="shared" si="2"/>
        <v>8135593.2203389844</v>
      </c>
      <c r="AA10" s="3">
        <f t="shared" si="2"/>
        <v>19.666666666666664</v>
      </c>
      <c r="AB10" t="str">
        <f t="shared" si="17"/>
        <v>7C23A9</v>
      </c>
    </row>
    <row r="11" spans="1:28">
      <c r="A11" s="5">
        <v>60</v>
      </c>
      <c r="B11" t="s">
        <v>593</v>
      </c>
      <c r="C11" t="str">
        <f>ROUNDDOWN(150/A18*1.8/360*60,0)&amp;"-"&amp; ROUNDDOWN(65535/A18*1.8/360*60,0)</f>
        <v>5-2457</v>
      </c>
      <c r="N11">
        <v>9</v>
      </c>
      <c r="O11">
        <f t="shared" si="3"/>
        <v>90</v>
      </c>
      <c r="P11">
        <f t="shared" ref="P11:P74" si="18">N11*10</f>
        <v>90</v>
      </c>
      <c r="Q11">
        <f t="shared" ref="Q11:Q74" si="19">IF(O11&gt;$A$5,0,IF(O11&lt;$A$4,O11/($A$4)*($A$2-$A$3)+$A$3,IF($A$5-O11&lt;$A$4,($A$5-O11)/($A$4)*($A$2-$A$3)+$A$3,$A$2)))</f>
        <v>75.2</v>
      </c>
      <c r="R11" s="4">
        <f t="shared" ref="R11:R74" si="20">IFERROR(160*1000*1000/Q11,0)</f>
        <v>2127659.5744680851</v>
      </c>
      <c r="S11" s="3">
        <f t="shared" ref="S11:S74" si="21">IFERROR(160*1000*1000/R11,0)</f>
        <v>75.2</v>
      </c>
      <c r="T11" t="str">
        <f t="shared" ref="T11:T74" si="22">DEC2HEX(R11)</f>
        <v>20772B</v>
      </c>
      <c r="V11">
        <v>9</v>
      </c>
      <c r="W11">
        <f t="shared" si="0"/>
        <v>90</v>
      </c>
      <c r="X11">
        <f t="shared" si="8"/>
        <v>90</v>
      </c>
      <c r="Y11">
        <f t="shared" si="1"/>
        <v>21.5</v>
      </c>
      <c r="Z11" s="4">
        <f t="shared" si="2"/>
        <v>7441860.4651162792</v>
      </c>
      <c r="AA11" s="3">
        <f t="shared" si="2"/>
        <v>21.5</v>
      </c>
      <c r="AB11" t="str">
        <f t="shared" si="17"/>
        <v>718DC4</v>
      </c>
    </row>
    <row r="12" spans="1:28">
      <c r="A12" s="5">
        <v>5</v>
      </c>
      <c r="B12" t="s">
        <v>594</v>
      </c>
      <c r="C12" t="str">
        <f>ROUNDDOWN(150/A18*1.8/360*60,0)&amp;"-"&amp; ROUNDDOWN(65535/A18*1.8/360*60,0)</f>
        <v>5-2457</v>
      </c>
      <c r="N12">
        <v>10</v>
      </c>
      <c r="O12">
        <f t="shared" si="3"/>
        <v>100</v>
      </c>
      <c r="P12">
        <f t="shared" si="18"/>
        <v>100</v>
      </c>
      <c r="Q12">
        <f t="shared" si="19"/>
        <v>83</v>
      </c>
      <c r="R12" s="4">
        <f t="shared" si="20"/>
        <v>1927710.843373494</v>
      </c>
      <c r="S12" s="3">
        <f t="shared" si="21"/>
        <v>83</v>
      </c>
      <c r="T12" t="str">
        <f t="shared" si="22"/>
        <v>1D6A1E</v>
      </c>
      <c r="V12">
        <v>10</v>
      </c>
      <c r="W12">
        <f t="shared" si="0"/>
        <v>100</v>
      </c>
      <c r="X12">
        <f t="shared" si="8"/>
        <v>100</v>
      </c>
      <c r="Y12">
        <f t="shared" si="1"/>
        <v>23.333333333333332</v>
      </c>
      <c r="Z12" s="4">
        <f t="shared" si="2"/>
        <v>6857142.8571428573</v>
      </c>
      <c r="AA12" s="3">
        <f t="shared" si="2"/>
        <v>23.333333333333332</v>
      </c>
      <c r="AB12" t="str">
        <f t="shared" si="17"/>
        <v>68A1B6</v>
      </c>
    </row>
    <row r="13" spans="1:28">
      <c r="A13" s="5">
        <v>300</v>
      </c>
      <c r="B13" t="s">
        <v>573</v>
      </c>
      <c r="C13" t="s">
        <v>586</v>
      </c>
      <c r="N13">
        <v>11</v>
      </c>
      <c r="O13">
        <f t="shared" si="3"/>
        <v>110</v>
      </c>
      <c r="P13">
        <f t="shared" si="18"/>
        <v>110</v>
      </c>
      <c r="Q13">
        <f t="shared" si="19"/>
        <v>90.8</v>
      </c>
      <c r="R13" s="4">
        <f t="shared" si="20"/>
        <v>1762114.537444934</v>
      </c>
      <c r="S13" s="3">
        <f t="shared" si="21"/>
        <v>90.8</v>
      </c>
      <c r="T13" t="str">
        <f t="shared" si="22"/>
        <v>1AE342</v>
      </c>
      <c r="V13">
        <v>11</v>
      </c>
      <c r="W13">
        <f t="shared" si="0"/>
        <v>110</v>
      </c>
      <c r="X13">
        <f t="shared" si="8"/>
        <v>110</v>
      </c>
      <c r="Y13">
        <f t="shared" si="1"/>
        <v>25.166666666666664</v>
      </c>
      <c r="Z13" s="4">
        <f t="shared" si="2"/>
        <v>6357615.8940397361</v>
      </c>
      <c r="AA13" s="3">
        <f t="shared" si="2"/>
        <v>25.166666666666664</v>
      </c>
      <c r="AB13" t="str">
        <f t="shared" si="17"/>
        <v>61026F</v>
      </c>
    </row>
    <row r="14" spans="1:28">
      <c r="A14" s="5">
        <v>2000</v>
      </c>
      <c r="B14" t="s">
        <v>574</v>
      </c>
      <c r="C14" t="s">
        <v>586</v>
      </c>
      <c r="N14">
        <v>12</v>
      </c>
      <c r="O14">
        <f t="shared" si="3"/>
        <v>120</v>
      </c>
      <c r="P14">
        <f t="shared" si="18"/>
        <v>120</v>
      </c>
      <c r="Q14">
        <f t="shared" si="19"/>
        <v>98.6</v>
      </c>
      <c r="R14" s="4">
        <f t="shared" si="20"/>
        <v>1622718.0527383368</v>
      </c>
      <c r="S14" s="3">
        <f t="shared" si="21"/>
        <v>98.6</v>
      </c>
      <c r="T14" t="str">
        <f t="shared" si="22"/>
        <v>18C2BE</v>
      </c>
      <c r="V14">
        <v>12</v>
      </c>
      <c r="W14">
        <f t="shared" si="0"/>
        <v>120</v>
      </c>
      <c r="X14">
        <f t="shared" si="8"/>
        <v>120</v>
      </c>
      <c r="Y14">
        <f t="shared" si="1"/>
        <v>27</v>
      </c>
      <c r="Z14" s="4">
        <f t="shared" si="2"/>
        <v>5925925.9259259263</v>
      </c>
      <c r="AA14" s="3">
        <f t="shared" si="2"/>
        <v>27</v>
      </c>
      <c r="AB14" t="str">
        <f t="shared" si="17"/>
        <v>5A6C25</v>
      </c>
    </row>
    <row r="15" spans="1:28">
      <c r="A15" s="5">
        <v>100</v>
      </c>
      <c r="B15" t="s">
        <v>575</v>
      </c>
      <c r="C15" t="s">
        <v>586</v>
      </c>
      <c r="N15">
        <v>13</v>
      </c>
      <c r="O15">
        <f t="shared" si="3"/>
        <v>130</v>
      </c>
      <c r="P15">
        <f t="shared" si="18"/>
        <v>130</v>
      </c>
      <c r="Q15">
        <f t="shared" si="19"/>
        <v>106.4</v>
      </c>
      <c r="R15" s="4">
        <f t="shared" si="20"/>
        <v>1503759.3984962406</v>
      </c>
      <c r="S15" s="3">
        <f t="shared" si="21"/>
        <v>106.4</v>
      </c>
      <c r="T15" t="str">
        <f t="shared" si="22"/>
        <v>16F20F</v>
      </c>
      <c r="V15">
        <v>13</v>
      </c>
      <c r="W15">
        <f t="shared" si="0"/>
        <v>130</v>
      </c>
      <c r="X15">
        <f t="shared" si="8"/>
        <v>130</v>
      </c>
      <c r="Y15">
        <f t="shared" si="1"/>
        <v>28.833333333333336</v>
      </c>
      <c r="Z15" s="4">
        <f t="shared" si="2"/>
        <v>5549132.9479768779</v>
      </c>
      <c r="AA15" s="3">
        <f t="shared" si="2"/>
        <v>28.833333333333336</v>
      </c>
      <c r="AB15" t="str">
        <f t="shared" si="17"/>
        <v>54AC4C</v>
      </c>
    </row>
    <row r="16" spans="1:28">
      <c r="A16" s="5">
        <v>2</v>
      </c>
      <c r="B16" t="s">
        <v>576</v>
      </c>
      <c r="C16" t="s">
        <v>587</v>
      </c>
      <c r="N16">
        <v>14</v>
      </c>
      <c r="O16">
        <f t="shared" si="3"/>
        <v>140</v>
      </c>
      <c r="P16">
        <f t="shared" si="18"/>
        <v>140</v>
      </c>
      <c r="Q16">
        <f t="shared" si="19"/>
        <v>114.20000000000002</v>
      </c>
      <c r="R16" s="4">
        <f t="shared" si="20"/>
        <v>1401050.7880910682</v>
      </c>
      <c r="S16" s="3">
        <f t="shared" si="21"/>
        <v>114.20000000000002</v>
      </c>
      <c r="T16" t="str">
        <f t="shared" si="22"/>
        <v>1560DA</v>
      </c>
      <c r="V16">
        <v>14</v>
      </c>
      <c r="W16">
        <f t="shared" si="0"/>
        <v>140</v>
      </c>
      <c r="X16">
        <f t="shared" si="8"/>
        <v>140</v>
      </c>
      <c r="Y16">
        <f t="shared" si="1"/>
        <v>30.666666666666668</v>
      </c>
      <c r="Z16" s="4">
        <f t="shared" si="2"/>
        <v>5217391.3043478262</v>
      </c>
      <c r="AA16" s="3">
        <f t="shared" si="2"/>
        <v>30.666666666666668</v>
      </c>
      <c r="AB16" t="str">
        <f t="shared" si="17"/>
        <v>4F9C6F</v>
      </c>
    </row>
    <row r="17" spans="1:28">
      <c r="A17" s="5" t="s">
        <v>581</v>
      </c>
      <c r="B17" t="s">
        <v>588</v>
      </c>
      <c r="C17" t="s">
        <v>590</v>
      </c>
      <c r="N17">
        <v>15</v>
      </c>
      <c r="O17">
        <f t="shared" si="3"/>
        <v>150</v>
      </c>
      <c r="P17">
        <f t="shared" si="18"/>
        <v>150</v>
      </c>
      <c r="Q17">
        <f t="shared" si="19"/>
        <v>122</v>
      </c>
      <c r="R17" s="4">
        <f t="shared" si="20"/>
        <v>1311475.4098360655</v>
      </c>
      <c r="S17" s="3">
        <f t="shared" si="21"/>
        <v>122.00000000000001</v>
      </c>
      <c r="T17" t="str">
        <f t="shared" si="22"/>
        <v>1402F3</v>
      </c>
      <c r="V17">
        <v>15</v>
      </c>
      <c r="W17">
        <f t="shared" si="0"/>
        <v>150</v>
      </c>
      <c r="X17">
        <f t="shared" si="8"/>
        <v>150</v>
      </c>
      <c r="Y17">
        <f t="shared" si="1"/>
        <v>32.5</v>
      </c>
      <c r="Z17" s="4">
        <f t="shared" si="2"/>
        <v>4923076.923076923</v>
      </c>
      <c r="AA17" s="3">
        <f t="shared" si="2"/>
        <v>32.5</v>
      </c>
      <c r="AB17" t="str">
        <f t="shared" si="17"/>
        <v>4B1EC4</v>
      </c>
    </row>
    <row r="18" spans="1:28">
      <c r="A18" s="6">
        <f>INDEX($L$2:$L$5,MATCH(A17,$K$2:$K$5,0))</f>
        <v>8</v>
      </c>
      <c r="N18">
        <v>16</v>
      </c>
      <c r="O18">
        <f t="shared" si="3"/>
        <v>160</v>
      </c>
      <c r="P18">
        <f t="shared" si="18"/>
        <v>160</v>
      </c>
      <c r="Q18">
        <f t="shared" si="19"/>
        <v>129.80000000000001</v>
      </c>
      <c r="R18" s="4">
        <f t="shared" si="20"/>
        <v>1232665.6394453004</v>
      </c>
      <c r="S18" s="3">
        <f t="shared" si="21"/>
        <v>129.80000000000001</v>
      </c>
      <c r="T18" t="str">
        <f t="shared" si="22"/>
        <v>12CF19</v>
      </c>
      <c r="V18">
        <v>16</v>
      </c>
      <c r="W18">
        <f t="shared" si="0"/>
        <v>160</v>
      </c>
      <c r="X18">
        <f t="shared" si="8"/>
        <v>160</v>
      </c>
      <c r="Y18">
        <f t="shared" si="1"/>
        <v>34.333333333333329</v>
      </c>
      <c r="Z18" s="4">
        <f t="shared" si="2"/>
        <v>4660194.1747572822</v>
      </c>
      <c r="AA18" s="3">
        <f t="shared" si="2"/>
        <v>34.333333333333329</v>
      </c>
      <c r="AB18" t="str">
        <f t="shared" si="17"/>
        <v>471BE2</v>
      </c>
    </row>
    <row r="19" spans="1:28">
      <c r="N19">
        <v>17</v>
      </c>
      <c r="O19">
        <f t="shared" si="3"/>
        <v>170</v>
      </c>
      <c r="P19">
        <f t="shared" si="18"/>
        <v>170</v>
      </c>
      <c r="Q19">
        <f t="shared" si="19"/>
        <v>137.60000000000002</v>
      </c>
      <c r="R19" s="4">
        <f t="shared" si="20"/>
        <v>1162790.6976744183</v>
      </c>
      <c r="S19" s="3">
        <f t="shared" si="21"/>
        <v>137.60000000000002</v>
      </c>
      <c r="T19" t="str">
        <f t="shared" si="22"/>
        <v>11BE26</v>
      </c>
      <c r="V19">
        <v>17</v>
      </c>
      <c r="W19">
        <f t="shared" si="0"/>
        <v>170</v>
      </c>
      <c r="X19">
        <f t="shared" si="8"/>
        <v>170</v>
      </c>
      <c r="Y19">
        <f t="shared" si="1"/>
        <v>36.166666666666664</v>
      </c>
      <c r="Z19" s="4">
        <f t="shared" ref="Z19:AA38" si="23">IFERROR(160*1000*1000/Y19,0)</f>
        <v>4423963.1336405529</v>
      </c>
      <c r="AA19" s="3">
        <f t="shared" si="23"/>
        <v>36.166666666666664</v>
      </c>
      <c r="AB19" t="str">
        <f t="shared" si="17"/>
        <v>43811B</v>
      </c>
    </row>
    <row r="20" spans="1:28">
      <c r="N20">
        <v>18</v>
      </c>
      <c r="O20">
        <f t="shared" si="3"/>
        <v>180</v>
      </c>
      <c r="P20">
        <f t="shared" si="18"/>
        <v>180</v>
      </c>
      <c r="Q20">
        <f t="shared" si="19"/>
        <v>145.4</v>
      </c>
      <c r="R20" s="4">
        <f t="shared" si="20"/>
        <v>1100412.6547455296</v>
      </c>
      <c r="S20" s="3">
        <f t="shared" si="21"/>
        <v>145.39999999999998</v>
      </c>
      <c r="T20" t="str">
        <f t="shared" si="22"/>
        <v>10CA7C</v>
      </c>
      <c r="V20">
        <v>18</v>
      </c>
      <c r="W20">
        <f t="shared" si="0"/>
        <v>180</v>
      </c>
      <c r="X20">
        <f t="shared" si="8"/>
        <v>180</v>
      </c>
      <c r="Y20">
        <f t="shared" si="1"/>
        <v>38</v>
      </c>
      <c r="Z20" s="4">
        <f t="shared" si="23"/>
        <v>4210526.3157894732</v>
      </c>
      <c r="AA20" s="3">
        <f t="shared" si="23"/>
        <v>38.000000000000007</v>
      </c>
      <c r="AB20" t="str">
        <f t="shared" si="17"/>
        <v>403F5E</v>
      </c>
    </row>
    <row r="21" spans="1:28">
      <c r="N21">
        <v>19</v>
      </c>
      <c r="O21">
        <f t="shared" si="3"/>
        <v>190</v>
      </c>
      <c r="P21">
        <f t="shared" si="18"/>
        <v>190</v>
      </c>
      <c r="Q21">
        <f t="shared" si="19"/>
        <v>153.19999999999999</v>
      </c>
      <c r="R21" s="4">
        <f t="shared" si="20"/>
        <v>1044386.4229765014</v>
      </c>
      <c r="S21" s="3">
        <f t="shared" si="21"/>
        <v>153.19999999999999</v>
      </c>
      <c r="T21" t="str">
        <f t="shared" si="22"/>
        <v>FEFA2</v>
      </c>
      <c r="V21">
        <v>19</v>
      </c>
      <c r="W21">
        <f t="shared" si="0"/>
        <v>190</v>
      </c>
      <c r="X21">
        <f t="shared" si="8"/>
        <v>190</v>
      </c>
      <c r="Y21">
        <f t="shared" si="1"/>
        <v>39.833333333333329</v>
      </c>
      <c r="Z21" s="4">
        <f t="shared" si="23"/>
        <v>4016736.4016736406</v>
      </c>
      <c r="AA21" s="3">
        <f t="shared" si="23"/>
        <v>39.833333333333329</v>
      </c>
      <c r="AB21" t="str">
        <f t="shared" si="17"/>
        <v>3D4A60</v>
      </c>
    </row>
    <row r="22" spans="1:28">
      <c r="B22" t="s">
        <v>577</v>
      </c>
      <c r="N22">
        <v>20</v>
      </c>
      <c r="O22">
        <f t="shared" si="3"/>
        <v>200</v>
      </c>
      <c r="P22">
        <f t="shared" si="18"/>
        <v>200</v>
      </c>
      <c r="Q22">
        <f t="shared" si="19"/>
        <v>161</v>
      </c>
      <c r="R22" s="4">
        <f t="shared" si="20"/>
        <v>993788.81987577642</v>
      </c>
      <c r="S22" s="3">
        <f t="shared" si="21"/>
        <v>161</v>
      </c>
      <c r="T22" t="str">
        <f t="shared" si="22"/>
        <v>F29FC</v>
      </c>
      <c r="V22">
        <v>20</v>
      </c>
      <c r="W22">
        <f t="shared" si="0"/>
        <v>200</v>
      </c>
      <c r="X22">
        <f t="shared" si="8"/>
        <v>200</v>
      </c>
      <c r="Y22">
        <f t="shared" si="1"/>
        <v>41.666666666666664</v>
      </c>
      <c r="Z22" s="4">
        <f t="shared" si="23"/>
        <v>3840000</v>
      </c>
      <c r="AA22" s="3">
        <f t="shared" si="23"/>
        <v>41.666666666666664</v>
      </c>
      <c r="AB22" t="str">
        <f t="shared" si="17"/>
        <v>3A9800</v>
      </c>
    </row>
    <row r="23" spans="1:28">
      <c r="B23" t="s">
        <v>579</v>
      </c>
      <c r="N23">
        <v>21</v>
      </c>
      <c r="O23">
        <f t="shared" si="3"/>
        <v>210</v>
      </c>
      <c r="P23">
        <f t="shared" si="18"/>
        <v>210</v>
      </c>
      <c r="Q23">
        <f t="shared" si="19"/>
        <v>168.79999999999998</v>
      </c>
      <c r="R23" s="4">
        <f t="shared" si="20"/>
        <v>947867.29857819912</v>
      </c>
      <c r="S23" s="3">
        <f t="shared" si="21"/>
        <v>168.79999999999998</v>
      </c>
      <c r="T23" t="str">
        <f t="shared" si="22"/>
        <v>E769B</v>
      </c>
      <c r="V23">
        <v>21</v>
      </c>
      <c r="W23">
        <f t="shared" si="0"/>
        <v>210</v>
      </c>
      <c r="X23">
        <f t="shared" si="8"/>
        <v>210</v>
      </c>
      <c r="Y23">
        <f t="shared" si="1"/>
        <v>43.5</v>
      </c>
      <c r="Z23" s="4">
        <f t="shared" si="23"/>
        <v>3678160.9195402297</v>
      </c>
      <c r="AA23" s="3">
        <f t="shared" si="23"/>
        <v>43.5</v>
      </c>
      <c r="AB23" t="str">
        <f t="shared" si="17"/>
        <v>381FD0</v>
      </c>
    </row>
    <row r="24" spans="1:28">
      <c r="B24" t="s">
        <v>580</v>
      </c>
      <c r="N24">
        <v>22</v>
      </c>
      <c r="O24">
        <f t="shared" si="3"/>
        <v>220</v>
      </c>
      <c r="P24">
        <f t="shared" si="18"/>
        <v>220</v>
      </c>
      <c r="Q24">
        <f t="shared" si="19"/>
        <v>176.6</v>
      </c>
      <c r="R24" s="4">
        <f t="shared" si="20"/>
        <v>906002.26500566257</v>
      </c>
      <c r="S24" s="3">
        <f t="shared" si="21"/>
        <v>176.6</v>
      </c>
      <c r="T24" t="str">
        <f t="shared" si="22"/>
        <v>DD312</v>
      </c>
      <c r="V24">
        <v>22</v>
      </c>
      <c r="W24">
        <f t="shared" si="0"/>
        <v>220</v>
      </c>
      <c r="X24">
        <f t="shared" si="8"/>
        <v>220</v>
      </c>
      <c r="Y24">
        <f t="shared" si="1"/>
        <v>45.333333333333329</v>
      </c>
      <c r="Z24" s="4">
        <f t="shared" si="23"/>
        <v>3529411.7647058829</v>
      </c>
      <c r="AA24" s="3">
        <f t="shared" si="23"/>
        <v>45.333333333333329</v>
      </c>
      <c r="AB24" t="str">
        <f t="shared" si="17"/>
        <v>35DAC3</v>
      </c>
    </row>
    <row r="25" spans="1:28">
      <c r="B25" t="s">
        <v>578</v>
      </c>
      <c r="E25" s="8"/>
      <c r="N25">
        <v>23</v>
      </c>
      <c r="O25">
        <f t="shared" si="3"/>
        <v>230</v>
      </c>
      <c r="P25">
        <f t="shared" si="18"/>
        <v>230</v>
      </c>
      <c r="Q25">
        <f t="shared" si="19"/>
        <v>184.4</v>
      </c>
      <c r="R25" s="4">
        <f t="shared" si="20"/>
        <v>867678.95878524939</v>
      </c>
      <c r="S25" s="3">
        <f t="shared" si="21"/>
        <v>184.4</v>
      </c>
      <c r="T25" t="str">
        <f t="shared" si="22"/>
        <v>D3D5E</v>
      </c>
      <c r="V25">
        <v>23</v>
      </c>
      <c r="W25">
        <f t="shared" si="0"/>
        <v>230</v>
      </c>
      <c r="X25">
        <f t="shared" si="8"/>
        <v>230</v>
      </c>
      <c r="Y25">
        <f t="shared" si="1"/>
        <v>47.166666666666671</v>
      </c>
      <c r="Z25" s="4">
        <f t="shared" si="23"/>
        <v>3392226.1484098937</v>
      </c>
      <c r="AA25" s="3">
        <f t="shared" si="23"/>
        <v>47.166666666666671</v>
      </c>
      <c r="AB25" t="str">
        <f t="shared" si="17"/>
        <v>33C2E2</v>
      </c>
    </row>
    <row r="26" spans="1:28">
      <c r="N26">
        <v>24</v>
      </c>
      <c r="O26">
        <f t="shared" si="3"/>
        <v>240</v>
      </c>
      <c r="P26">
        <f t="shared" si="18"/>
        <v>240</v>
      </c>
      <c r="Q26">
        <f t="shared" si="19"/>
        <v>192.2</v>
      </c>
      <c r="R26" s="4">
        <f t="shared" si="20"/>
        <v>832466.1810613944</v>
      </c>
      <c r="S26" s="3">
        <f t="shared" si="21"/>
        <v>192.2</v>
      </c>
      <c r="T26" t="str">
        <f t="shared" si="22"/>
        <v>CB3D2</v>
      </c>
      <c r="V26">
        <v>24</v>
      </c>
      <c r="W26">
        <f t="shared" si="0"/>
        <v>240</v>
      </c>
      <c r="X26">
        <f t="shared" si="8"/>
        <v>240</v>
      </c>
      <c r="Y26">
        <f t="shared" si="1"/>
        <v>49</v>
      </c>
      <c r="Z26" s="4">
        <f t="shared" si="23"/>
        <v>3265306.1224489794</v>
      </c>
      <c r="AA26" s="3">
        <f t="shared" si="23"/>
        <v>49</v>
      </c>
      <c r="AB26" t="str">
        <f t="shared" si="17"/>
        <v>31D31A</v>
      </c>
    </row>
    <row r="27" spans="1:28">
      <c r="N27">
        <v>25</v>
      </c>
      <c r="O27">
        <f t="shared" si="3"/>
        <v>250</v>
      </c>
      <c r="P27">
        <f t="shared" si="18"/>
        <v>250</v>
      </c>
      <c r="Q27">
        <f t="shared" si="19"/>
        <v>200</v>
      </c>
      <c r="R27" s="4">
        <f t="shared" si="20"/>
        <v>800000</v>
      </c>
      <c r="S27" s="3">
        <f t="shared" si="21"/>
        <v>200</v>
      </c>
      <c r="T27" t="str">
        <f t="shared" si="22"/>
        <v>C3500</v>
      </c>
      <c r="V27">
        <v>25</v>
      </c>
      <c r="W27">
        <f t="shared" si="0"/>
        <v>250</v>
      </c>
      <c r="X27">
        <f t="shared" si="8"/>
        <v>250</v>
      </c>
      <c r="Y27">
        <f t="shared" si="1"/>
        <v>50.833333333333336</v>
      </c>
      <c r="Z27" s="4">
        <f t="shared" si="23"/>
        <v>3147540.9836065574</v>
      </c>
      <c r="AA27" s="3">
        <f t="shared" si="23"/>
        <v>50.833333333333336</v>
      </c>
      <c r="AB27" t="str">
        <f t="shared" si="17"/>
        <v>300714</v>
      </c>
    </row>
    <row r="28" spans="1:28">
      <c r="N28">
        <v>26</v>
      </c>
      <c r="O28">
        <f t="shared" si="3"/>
        <v>260</v>
      </c>
      <c r="P28">
        <f t="shared" si="18"/>
        <v>260</v>
      </c>
      <c r="Q28">
        <f t="shared" si="19"/>
        <v>200</v>
      </c>
      <c r="R28" s="4">
        <f t="shared" si="20"/>
        <v>800000</v>
      </c>
      <c r="S28" s="3">
        <f t="shared" si="21"/>
        <v>200</v>
      </c>
      <c r="T28" t="str">
        <f t="shared" si="22"/>
        <v>C3500</v>
      </c>
      <c r="V28">
        <v>26</v>
      </c>
      <c r="W28">
        <f t="shared" si="0"/>
        <v>260</v>
      </c>
      <c r="X28">
        <f t="shared" si="8"/>
        <v>260</v>
      </c>
      <c r="Y28">
        <f t="shared" si="1"/>
        <v>52.666666666666671</v>
      </c>
      <c r="Z28" s="4">
        <f t="shared" si="23"/>
        <v>3037974.6835443038</v>
      </c>
      <c r="AA28" s="3">
        <f t="shared" si="23"/>
        <v>52.666666666666664</v>
      </c>
      <c r="AB28" t="str">
        <f t="shared" si="17"/>
        <v>2E5B16</v>
      </c>
    </row>
    <row r="29" spans="1:28">
      <c r="N29">
        <v>27</v>
      </c>
      <c r="O29">
        <f t="shared" si="3"/>
        <v>270</v>
      </c>
      <c r="P29">
        <f t="shared" si="18"/>
        <v>270</v>
      </c>
      <c r="Q29">
        <f t="shared" si="19"/>
        <v>200</v>
      </c>
      <c r="R29" s="4">
        <f t="shared" si="20"/>
        <v>800000</v>
      </c>
      <c r="S29" s="3">
        <f t="shared" si="21"/>
        <v>200</v>
      </c>
      <c r="T29" t="str">
        <f t="shared" si="22"/>
        <v>C3500</v>
      </c>
      <c r="V29">
        <v>27</v>
      </c>
      <c r="W29">
        <f t="shared" si="0"/>
        <v>270</v>
      </c>
      <c r="X29">
        <f t="shared" si="8"/>
        <v>270</v>
      </c>
      <c r="Y29">
        <f t="shared" si="1"/>
        <v>54.5</v>
      </c>
      <c r="Z29" s="4">
        <f t="shared" si="23"/>
        <v>2935779.8165137614</v>
      </c>
      <c r="AA29" s="3">
        <f t="shared" si="23"/>
        <v>54.5</v>
      </c>
      <c r="AB29" t="str">
        <f t="shared" si="17"/>
        <v>2CCBE3</v>
      </c>
    </row>
    <row r="30" spans="1:28">
      <c r="N30">
        <v>28</v>
      </c>
      <c r="O30">
        <f t="shared" si="3"/>
        <v>280</v>
      </c>
      <c r="P30">
        <f t="shared" si="18"/>
        <v>280</v>
      </c>
      <c r="Q30">
        <f t="shared" si="19"/>
        <v>200</v>
      </c>
      <c r="R30" s="4">
        <f t="shared" si="20"/>
        <v>800000</v>
      </c>
      <c r="S30" s="3">
        <f t="shared" si="21"/>
        <v>200</v>
      </c>
      <c r="T30" t="str">
        <f t="shared" si="22"/>
        <v>C3500</v>
      </c>
      <c r="V30">
        <v>28</v>
      </c>
      <c r="W30">
        <f t="shared" si="0"/>
        <v>280</v>
      </c>
      <c r="X30">
        <f t="shared" si="8"/>
        <v>280</v>
      </c>
      <c r="Y30">
        <f t="shared" si="1"/>
        <v>56.333333333333336</v>
      </c>
      <c r="Z30" s="4">
        <f t="shared" si="23"/>
        <v>2840236.6863905326</v>
      </c>
      <c r="AA30" s="3">
        <f t="shared" si="23"/>
        <v>56.333333333333329</v>
      </c>
      <c r="AB30" t="str">
        <f t="shared" si="17"/>
        <v>2B56AC</v>
      </c>
    </row>
    <row r="31" spans="1:28">
      <c r="N31">
        <v>29</v>
      </c>
      <c r="O31">
        <f t="shared" si="3"/>
        <v>290</v>
      </c>
      <c r="P31">
        <f t="shared" si="18"/>
        <v>290</v>
      </c>
      <c r="Q31">
        <f t="shared" si="19"/>
        <v>200</v>
      </c>
      <c r="R31" s="4">
        <f t="shared" si="20"/>
        <v>800000</v>
      </c>
      <c r="S31" s="3">
        <f t="shared" si="21"/>
        <v>200</v>
      </c>
      <c r="T31" t="str">
        <f t="shared" si="22"/>
        <v>C3500</v>
      </c>
      <c r="V31">
        <v>29</v>
      </c>
      <c r="W31">
        <f t="shared" si="0"/>
        <v>290</v>
      </c>
      <c r="X31">
        <f t="shared" si="8"/>
        <v>290</v>
      </c>
      <c r="Y31">
        <f t="shared" si="1"/>
        <v>58.166666666666664</v>
      </c>
      <c r="Z31" s="4">
        <f t="shared" si="23"/>
        <v>2750716.3323782235</v>
      </c>
      <c r="AA31" s="3">
        <f t="shared" si="23"/>
        <v>58.166666666666664</v>
      </c>
      <c r="AB31" t="str">
        <f t="shared" si="17"/>
        <v>29F8FC</v>
      </c>
    </row>
    <row r="32" spans="1:28">
      <c r="N32">
        <v>30</v>
      </c>
      <c r="O32">
        <f t="shared" si="3"/>
        <v>300</v>
      </c>
      <c r="P32">
        <f t="shared" si="18"/>
        <v>300</v>
      </c>
      <c r="Q32">
        <f t="shared" si="19"/>
        <v>200</v>
      </c>
      <c r="R32" s="4">
        <f t="shared" si="20"/>
        <v>800000</v>
      </c>
      <c r="S32" s="3">
        <f t="shared" si="21"/>
        <v>200</v>
      </c>
      <c r="T32" t="str">
        <f t="shared" si="22"/>
        <v>C3500</v>
      </c>
      <c r="V32">
        <v>30</v>
      </c>
      <c r="W32">
        <f t="shared" si="0"/>
        <v>300</v>
      </c>
      <c r="X32">
        <f t="shared" si="8"/>
        <v>300</v>
      </c>
      <c r="Y32">
        <f t="shared" si="1"/>
        <v>60</v>
      </c>
      <c r="Z32" s="4">
        <f t="shared" si="23"/>
        <v>2666666.6666666665</v>
      </c>
      <c r="AA32" s="3">
        <f t="shared" si="23"/>
        <v>60</v>
      </c>
      <c r="AB32" t="str">
        <f t="shared" si="17"/>
        <v>28B0AA</v>
      </c>
    </row>
    <row r="33" spans="14:28">
      <c r="N33">
        <v>31</v>
      </c>
      <c r="O33">
        <f t="shared" si="3"/>
        <v>310</v>
      </c>
      <c r="P33">
        <f t="shared" si="18"/>
        <v>310</v>
      </c>
      <c r="Q33">
        <f t="shared" si="19"/>
        <v>200</v>
      </c>
      <c r="R33" s="4">
        <f t="shared" si="20"/>
        <v>800000</v>
      </c>
      <c r="S33" s="3">
        <f t="shared" si="21"/>
        <v>200</v>
      </c>
      <c r="T33" t="str">
        <f t="shared" si="22"/>
        <v>C3500</v>
      </c>
      <c r="V33">
        <v>31</v>
      </c>
      <c r="W33">
        <f t="shared" si="0"/>
        <v>310</v>
      </c>
      <c r="X33">
        <f t="shared" si="8"/>
        <v>310</v>
      </c>
      <c r="Y33">
        <f t="shared" si="1"/>
        <v>60</v>
      </c>
      <c r="Z33" s="4">
        <f t="shared" si="23"/>
        <v>2666666.6666666665</v>
      </c>
      <c r="AA33" s="3">
        <f t="shared" si="23"/>
        <v>60</v>
      </c>
      <c r="AB33" t="str">
        <f t="shared" si="17"/>
        <v>28B0AA</v>
      </c>
    </row>
    <row r="34" spans="14:28">
      <c r="N34">
        <v>32</v>
      </c>
      <c r="O34">
        <f t="shared" si="3"/>
        <v>320</v>
      </c>
      <c r="P34">
        <f t="shared" si="18"/>
        <v>320</v>
      </c>
      <c r="Q34">
        <f t="shared" si="19"/>
        <v>200</v>
      </c>
      <c r="R34" s="4">
        <f t="shared" si="20"/>
        <v>800000</v>
      </c>
      <c r="S34" s="3">
        <f t="shared" si="21"/>
        <v>200</v>
      </c>
      <c r="T34" t="str">
        <f t="shared" si="22"/>
        <v>C3500</v>
      </c>
      <c r="V34">
        <v>32</v>
      </c>
      <c r="W34">
        <f t="shared" ref="W34:W62" si="24">MOD(X34,$A$14+$A$15)</f>
        <v>320</v>
      </c>
      <c r="X34">
        <f t="shared" si="8"/>
        <v>320</v>
      </c>
      <c r="Y34">
        <f t="shared" ref="Y34:Y62" si="25">IF(W34&gt;$A$14,0,IF(W34&lt;$A$13,W34/($A$13)*($A$11-$A$12)+$A$12,IF($A$14-W34&lt;$A$13,($A$14-W34)/($A$13)*($A$11-$A$12)+$A$12,$A$11)))</f>
        <v>60</v>
      </c>
      <c r="Z34" s="4">
        <f t="shared" si="23"/>
        <v>2666666.6666666665</v>
      </c>
      <c r="AA34" s="3">
        <f t="shared" si="23"/>
        <v>60</v>
      </c>
      <c r="AB34" t="str">
        <f t="shared" si="17"/>
        <v>28B0AA</v>
      </c>
    </row>
    <row r="35" spans="14:28">
      <c r="N35">
        <v>33</v>
      </c>
      <c r="O35">
        <f t="shared" si="3"/>
        <v>330</v>
      </c>
      <c r="P35">
        <f t="shared" si="18"/>
        <v>330</v>
      </c>
      <c r="Q35">
        <f t="shared" si="19"/>
        <v>200</v>
      </c>
      <c r="R35" s="4">
        <f t="shared" si="20"/>
        <v>800000</v>
      </c>
      <c r="S35" s="3">
        <f t="shared" si="21"/>
        <v>200</v>
      </c>
      <c r="T35" t="str">
        <f t="shared" si="22"/>
        <v>C3500</v>
      </c>
      <c r="V35">
        <v>33</v>
      </c>
      <c r="W35">
        <f t="shared" si="24"/>
        <v>330</v>
      </c>
      <c r="X35">
        <f t="shared" si="8"/>
        <v>330</v>
      </c>
      <c r="Y35">
        <f t="shared" si="25"/>
        <v>60</v>
      </c>
      <c r="Z35" s="4">
        <f t="shared" si="23"/>
        <v>2666666.6666666665</v>
      </c>
      <c r="AA35" s="3">
        <f t="shared" si="23"/>
        <v>60</v>
      </c>
      <c r="AB35" t="str">
        <f t="shared" si="17"/>
        <v>28B0AA</v>
      </c>
    </row>
    <row r="36" spans="14:28">
      <c r="N36">
        <v>34</v>
      </c>
      <c r="O36">
        <f t="shared" si="3"/>
        <v>340</v>
      </c>
      <c r="P36">
        <f t="shared" si="18"/>
        <v>340</v>
      </c>
      <c r="Q36">
        <f t="shared" si="19"/>
        <v>200</v>
      </c>
      <c r="R36" s="4">
        <f t="shared" si="20"/>
        <v>800000</v>
      </c>
      <c r="S36" s="3">
        <f t="shared" si="21"/>
        <v>200</v>
      </c>
      <c r="T36" t="str">
        <f t="shared" si="22"/>
        <v>C3500</v>
      </c>
      <c r="V36">
        <v>34</v>
      </c>
      <c r="W36">
        <f t="shared" si="24"/>
        <v>340</v>
      </c>
      <c r="X36">
        <f t="shared" si="8"/>
        <v>340</v>
      </c>
      <c r="Y36">
        <f t="shared" si="25"/>
        <v>60</v>
      </c>
      <c r="Z36" s="4">
        <f t="shared" si="23"/>
        <v>2666666.6666666665</v>
      </c>
      <c r="AA36" s="3">
        <f t="shared" si="23"/>
        <v>60</v>
      </c>
      <c r="AB36" t="str">
        <f t="shared" si="17"/>
        <v>28B0AA</v>
      </c>
    </row>
    <row r="37" spans="14:28">
      <c r="N37">
        <v>35</v>
      </c>
      <c r="O37">
        <f t="shared" si="3"/>
        <v>350</v>
      </c>
      <c r="P37">
        <f t="shared" si="18"/>
        <v>350</v>
      </c>
      <c r="Q37">
        <f t="shared" si="19"/>
        <v>200</v>
      </c>
      <c r="R37" s="4">
        <f t="shared" si="20"/>
        <v>800000</v>
      </c>
      <c r="S37" s="3">
        <f t="shared" si="21"/>
        <v>200</v>
      </c>
      <c r="T37" t="str">
        <f t="shared" si="22"/>
        <v>C3500</v>
      </c>
      <c r="V37">
        <v>35</v>
      </c>
      <c r="W37">
        <f t="shared" si="24"/>
        <v>350</v>
      </c>
      <c r="X37">
        <f t="shared" si="8"/>
        <v>350</v>
      </c>
      <c r="Y37">
        <f t="shared" si="25"/>
        <v>60</v>
      </c>
      <c r="Z37" s="4">
        <f t="shared" si="23"/>
        <v>2666666.6666666665</v>
      </c>
      <c r="AA37" s="3">
        <f t="shared" si="23"/>
        <v>60</v>
      </c>
      <c r="AB37" t="str">
        <f t="shared" si="17"/>
        <v>28B0AA</v>
      </c>
    </row>
    <row r="38" spans="14:28">
      <c r="N38">
        <v>36</v>
      </c>
      <c r="O38">
        <f t="shared" si="3"/>
        <v>360</v>
      </c>
      <c r="P38">
        <f t="shared" si="18"/>
        <v>360</v>
      </c>
      <c r="Q38">
        <f t="shared" si="19"/>
        <v>200</v>
      </c>
      <c r="R38" s="4">
        <f t="shared" si="20"/>
        <v>800000</v>
      </c>
      <c r="S38" s="3">
        <f t="shared" si="21"/>
        <v>200</v>
      </c>
      <c r="T38" t="str">
        <f t="shared" si="22"/>
        <v>C3500</v>
      </c>
      <c r="V38">
        <v>36</v>
      </c>
      <c r="W38">
        <f t="shared" si="24"/>
        <v>360</v>
      </c>
      <c r="X38">
        <f t="shared" si="8"/>
        <v>360</v>
      </c>
      <c r="Y38">
        <f t="shared" si="25"/>
        <v>60</v>
      </c>
      <c r="Z38" s="4">
        <f t="shared" si="23"/>
        <v>2666666.6666666665</v>
      </c>
      <c r="AA38" s="3">
        <f t="shared" si="23"/>
        <v>60</v>
      </c>
      <c r="AB38" t="str">
        <f t="shared" si="17"/>
        <v>28B0AA</v>
      </c>
    </row>
    <row r="39" spans="14:28">
      <c r="N39">
        <v>37</v>
      </c>
      <c r="O39">
        <f t="shared" si="3"/>
        <v>370</v>
      </c>
      <c r="P39">
        <f t="shared" si="18"/>
        <v>370</v>
      </c>
      <c r="Q39">
        <f t="shared" si="19"/>
        <v>200</v>
      </c>
      <c r="R39" s="4">
        <f t="shared" si="20"/>
        <v>800000</v>
      </c>
      <c r="S39" s="3">
        <f t="shared" si="21"/>
        <v>200</v>
      </c>
      <c r="T39" t="str">
        <f t="shared" si="22"/>
        <v>C3500</v>
      </c>
      <c r="V39">
        <v>37</v>
      </c>
      <c r="W39">
        <f t="shared" si="24"/>
        <v>370</v>
      </c>
      <c r="X39">
        <f t="shared" si="8"/>
        <v>370</v>
      </c>
      <c r="Y39">
        <f t="shared" si="25"/>
        <v>60</v>
      </c>
      <c r="Z39" s="4">
        <f t="shared" ref="Z39:AA58" si="26">IFERROR(160*1000*1000/Y39,0)</f>
        <v>2666666.6666666665</v>
      </c>
      <c r="AA39" s="3">
        <f t="shared" si="26"/>
        <v>60</v>
      </c>
      <c r="AB39" t="str">
        <f t="shared" si="17"/>
        <v>28B0AA</v>
      </c>
    </row>
    <row r="40" spans="14:28">
      <c r="N40">
        <v>38</v>
      </c>
      <c r="O40">
        <f t="shared" si="3"/>
        <v>380</v>
      </c>
      <c r="P40">
        <f t="shared" si="18"/>
        <v>380</v>
      </c>
      <c r="Q40">
        <f t="shared" si="19"/>
        <v>200</v>
      </c>
      <c r="R40" s="4">
        <f t="shared" si="20"/>
        <v>800000</v>
      </c>
      <c r="S40" s="3">
        <f t="shared" si="21"/>
        <v>200</v>
      </c>
      <c r="T40" t="str">
        <f t="shared" si="22"/>
        <v>C3500</v>
      </c>
      <c r="V40">
        <v>38</v>
      </c>
      <c r="W40">
        <f t="shared" si="24"/>
        <v>380</v>
      </c>
      <c r="X40">
        <f t="shared" si="8"/>
        <v>380</v>
      </c>
      <c r="Y40">
        <f t="shared" si="25"/>
        <v>60</v>
      </c>
      <c r="Z40" s="4">
        <f t="shared" si="26"/>
        <v>2666666.6666666665</v>
      </c>
      <c r="AA40" s="3">
        <f t="shared" si="26"/>
        <v>60</v>
      </c>
      <c r="AB40" t="str">
        <f t="shared" si="17"/>
        <v>28B0AA</v>
      </c>
    </row>
    <row r="41" spans="14:28">
      <c r="N41">
        <v>39</v>
      </c>
      <c r="O41">
        <f t="shared" si="3"/>
        <v>390</v>
      </c>
      <c r="P41">
        <f t="shared" si="18"/>
        <v>390</v>
      </c>
      <c r="Q41">
        <f t="shared" si="19"/>
        <v>200</v>
      </c>
      <c r="R41" s="4">
        <f t="shared" si="20"/>
        <v>800000</v>
      </c>
      <c r="S41" s="3">
        <f t="shared" si="21"/>
        <v>200</v>
      </c>
      <c r="T41" t="str">
        <f t="shared" si="22"/>
        <v>C3500</v>
      </c>
      <c r="V41">
        <v>39</v>
      </c>
      <c r="W41">
        <f t="shared" si="24"/>
        <v>390</v>
      </c>
      <c r="X41">
        <f t="shared" si="8"/>
        <v>390</v>
      </c>
      <c r="Y41">
        <f t="shared" si="25"/>
        <v>60</v>
      </c>
      <c r="Z41" s="4">
        <f t="shared" si="26"/>
        <v>2666666.6666666665</v>
      </c>
      <c r="AA41" s="3">
        <f t="shared" si="26"/>
        <v>60</v>
      </c>
      <c r="AB41" t="str">
        <f t="shared" si="17"/>
        <v>28B0AA</v>
      </c>
    </row>
    <row r="42" spans="14:28">
      <c r="N42">
        <v>40</v>
      </c>
      <c r="O42">
        <f t="shared" si="3"/>
        <v>400</v>
      </c>
      <c r="P42">
        <f t="shared" si="18"/>
        <v>400</v>
      </c>
      <c r="Q42">
        <f t="shared" si="19"/>
        <v>200</v>
      </c>
      <c r="R42" s="4">
        <f t="shared" si="20"/>
        <v>800000</v>
      </c>
      <c r="S42" s="3">
        <f t="shared" si="21"/>
        <v>200</v>
      </c>
      <c r="T42" t="str">
        <f t="shared" si="22"/>
        <v>C3500</v>
      </c>
      <c r="V42">
        <v>40</v>
      </c>
      <c r="W42">
        <f t="shared" si="24"/>
        <v>400</v>
      </c>
      <c r="X42">
        <f t="shared" si="8"/>
        <v>400</v>
      </c>
      <c r="Y42">
        <f t="shared" si="25"/>
        <v>60</v>
      </c>
      <c r="Z42" s="4">
        <f t="shared" si="26"/>
        <v>2666666.6666666665</v>
      </c>
      <c r="AA42" s="3">
        <f t="shared" si="26"/>
        <v>60</v>
      </c>
      <c r="AB42" t="str">
        <f t="shared" si="17"/>
        <v>28B0AA</v>
      </c>
    </row>
    <row r="43" spans="14:28">
      <c r="N43">
        <v>41</v>
      </c>
      <c r="O43">
        <f t="shared" si="3"/>
        <v>410</v>
      </c>
      <c r="P43">
        <f t="shared" si="18"/>
        <v>410</v>
      </c>
      <c r="Q43">
        <f t="shared" si="19"/>
        <v>200</v>
      </c>
      <c r="R43" s="4">
        <f t="shared" si="20"/>
        <v>800000</v>
      </c>
      <c r="S43" s="3">
        <f t="shared" si="21"/>
        <v>200</v>
      </c>
      <c r="T43" t="str">
        <f t="shared" si="22"/>
        <v>C3500</v>
      </c>
      <c r="V43">
        <v>41</v>
      </c>
      <c r="W43">
        <f t="shared" si="24"/>
        <v>410</v>
      </c>
      <c r="X43">
        <f t="shared" si="8"/>
        <v>410</v>
      </c>
      <c r="Y43">
        <f t="shared" si="25"/>
        <v>60</v>
      </c>
      <c r="Z43" s="4">
        <f t="shared" si="26"/>
        <v>2666666.6666666665</v>
      </c>
      <c r="AA43" s="3">
        <f t="shared" si="26"/>
        <v>60</v>
      </c>
      <c r="AB43" t="str">
        <f t="shared" si="17"/>
        <v>28B0AA</v>
      </c>
    </row>
    <row r="44" spans="14:28">
      <c r="N44">
        <v>42</v>
      </c>
      <c r="O44">
        <f t="shared" si="3"/>
        <v>420</v>
      </c>
      <c r="P44">
        <f t="shared" si="18"/>
        <v>420</v>
      </c>
      <c r="Q44">
        <f t="shared" si="19"/>
        <v>200</v>
      </c>
      <c r="R44" s="4">
        <f t="shared" si="20"/>
        <v>800000</v>
      </c>
      <c r="S44" s="3">
        <f t="shared" si="21"/>
        <v>200</v>
      </c>
      <c r="T44" t="str">
        <f t="shared" si="22"/>
        <v>C3500</v>
      </c>
      <c r="V44">
        <v>42</v>
      </c>
      <c r="W44">
        <f t="shared" si="24"/>
        <v>420</v>
      </c>
      <c r="X44">
        <f t="shared" si="8"/>
        <v>420</v>
      </c>
      <c r="Y44">
        <f t="shared" si="25"/>
        <v>60</v>
      </c>
      <c r="Z44" s="4">
        <f t="shared" si="26"/>
        <v>2666666.6666666665</v>
      </c>
      <c r="AA44" s="3">
        <f t="shared" si="26"/>
        <v>60</v>
      </c>
      <c r="AB44" t="str">
        <f t="shared" si="17"/>
        <v>28B0AA</v>
      </c>
    </row>
    <row r="45" spans="14:28">
      <c r="N45">
        <v>43</v>
      </c>
      <c r="O45">
        <f t="shared" si="3"/>
        <v>430</v>
      </c>
      <c r="P45">
        <f t="shared" si="18"/>
        <v>430</v>
      </c>
      <c r="Q45">
        <f t="shared" si="19"/>
        <v>200</v>
      </c>
      <c r="R45" s="4">
        <f t="shared" si="20"/>
        <v>800000</v>
      </c>
      <c r="S45" s="3">
        <f t="shared" si="21"/>
        <v>200</v>
      </c>
      <c r="T45" t="str">
        <f t="shared" si="22"/>
        <v>C3500</v>
      </c>
      <c r="V45">
        <v>43</v>
      </c>
      <c r="W45">
        <f t="shared" si="24"/>
        <v>430</v>
      </c>
      <c r="X45">
        <f t="shared" si="8"/>
        <v>430</v>
      </c>
      <c r="Y45">
        <f t="shared" si="25"/>
        <v>60</v>
      </c>
      <c r="Z45" s="4">
        <f t="shared" si="26"/>
        <v>2666666.6666666665</v>
      </c>
      <c r="AA45" s="3">
        <f t="shared" si="26"/>
        <v>60</v>
      </c>
      <c r="AB45" t="str">
        <f t="shared" si="17"/>
        <v>28B0AA</v>
      </c>
    </row>
    <row r="46" spans="14:28">
      <c r="N46">
        <v>44</v>
      </c>
      <c r="O46">
        <f t="shared" si="3"/>
        <v>440</v>
      </c>
      <c r="P46">
        <f t="shared" si="18"/>
        <v>440</v>
      </c>
      <c r="Q46">
        <f t="shared" si="19"/>
        <v>200</v>
      </c>
      <c r="R46" s="4">
        <f t="shared" si="20"/>
        <v>800000</v>
      </c>
      <c r="S46" s="3">
        <f t="shared" si="21"/>
        <v>200</v>
      </c>
      <c r="T46" t="str">
        <f t="shared" si="22"/>
        <v>C3500</v>
      </c>
      <c r="V46">
        <v>44</v>
      </c>
      <c r="W46">
        <f t="shared" si="24"/>
        <v>440</v>
      </c>
      <c r="X46">
        <f t="shared" si="8"/>
        <v>440</v>
      </c>
      <c r="Y46">
        <f t="shared" si="25"/>
        <v>60</v>
      </c>
      <c r="Z46" s="4">
        <f t="shared" si="26"/>
        <v>2666666.6666666665</v>
      </c>
      <c r="AA46" s="3">
        <f t="shared" si="26"/>
        <v>60</v>
      </c>
      <c r="AB46" t="str">
        <f t="shared" si="17"/>
        <v>28B0AA</v>
      </c>
    </row>
    <row r="47" spans="14:28">
      <c r="N47">
        <v>45</v>
      </c>
      <c r="O47">
        <f t="shared" si="3"/>
        <v>450</v>
      </c>
      <c r="P47">
        <f t="shared" si="18"/>
        <v>450</v>
      </c>
      <c r="Q47">
        <f t="shared" si="19"/>
        <v>200</v>
      </c>
      <c r="R47" s="4">
        <f t="shared" si="20"/>
        <v>800000</v>
      </c>
      <c r="S47" s="3">
        <f t="shared" si="21"/>
        <v>200</v>
      </c>
      <c r="T47" t="str">
        <f t="shared" si="22"/>
        <v>C3500</v>
      </c>
      <c r="V47">
        <v>45</v>
      </c>
      <c r="W47">
        <f t="shared" si="24"/>
        <v>450</v>
      </c>
      <c r="X47">
        <f t="shared" si="8"/>
        <v>450</v>
      </c>
      <c r="Y47">
        <f t="shared" si="25"/>
        <v>60</v>
      </c>
      <c r="Z47" s="4">
        <f t="shared" si="26"/>
        <v>2666666.6666666665</v>
      </c>
      <c r="AA47" s="3">
        <f t="shared" si="26"/>
        <v>60</v>
      </c>
      <c r="AB47" t="str">
        <f t="shared" si="17"/>
        <v>28B0AA</v>
      </c>
    </row>
    <row r="48" spans="14:28">
      <c r="N48">
        <v>46</v>
      </c>
      <c r="O48">
        <f t="shared" si="3"/>
        <v>460</v>
      </c>
      <c r="P48">
        <f t="shared" si="18"/>
        <v>460</v>
      </c>
      <c r="Q48">
        <f t="shared" si="19"/>
        <v>200</v>
      </c>
      <c r="R48" s="4">
        <f t="shared" si="20"/>
        <v>800000</v>
      </c>
      <c r="S48" s="3">
        <f t="shared" si="21"/>
        <v>200</v>
      </c>
      <c r="T48" t="str">
        <f t="shared" si="22"/>
        <v>C3500</v>
      </c>
      <c r="V48">
        <v>46</v>
      </c>
      <c r="W48">
        <f t="shared" si="24"/>
        <v>460</v>
      </c>
      <c r="X48">
        <f t="shared" si="8"/>
        <v>460</v>
      </c>
      <c r="Y48">
        <f t="shared" si="25"/>
        <v>60</v>
      </c>
      <c r="Z48" s="4">
        <f t="shared" si="26"/>
        <v>2666666.6666666665</v>
      </c>
      <c r="AA48" s="3">
        <f t="shared" si="26"/>
        <v>60</v>
      </c>
      <c r="AB48" t="str">
        <f t="shared" si="17"/>
        <v>28B0AA</v>
      </c>
    </row>
    <row r="49" spans="14:28">
      <c r="N49">
        <v>47</v>
      </c>
      <c r="O49">
        <f t="shared" si="3"/>
        <v>470</v>
      </c>
      <c r="P49">
        <f t="shared" si="18"/>
        <v>470</v>
      </c>
      <c r="Q49">
        <f t="shared" si="19"/>
        <v>200</v>
      </c>
      <c r="R49" s="4">
        <f t="shared" si="20"/>
        <v>800000</v>
      </c>
      <c r="S49" s="3">
        <f t="shared" si="21"/>
        <v>200</v>
      </c>
      <c r="T49" t="str">
        <f t="shared" si="22"/>
        <v>C3500</v>
      </c>
      <c r="V49">
        <v>47</v>
      </c>
      <c r="W49">
        <f t="shared" si="24"/>
        <v>470</v>
      </c>
      <c r="X49">
        <f t="shared" si="8"/>
        <v>470</v>
      </c>
      <c r="Y49">
        <f t="shared" si="25"/>
        <v>60</v>
      </c>
      <c r="Z49" s="4">
        <f t="shared" si="26"/>
        <v>2666666.6666666665</v>
      </c>
      <c r="AA49" s="3">
        <f t="shared" si="26"/>
        <v>60</v>
      </c>
      <c r="AB49" t="str">
        <f t="shared" si="17"/>
        <v>28B0AA</v>
      </c>
    </row>
    <row r="50" spans="14:28">
      <c r="N50">
        <v>48</v>
      </c>
      <c r="O50">
        <f t="shared" si="3"/>
        <v>480</v>
      </c>
      <c r="P50">
        <f t="shared" si="18"/>
        <v>480</v>
      </c>
      <c r="Q50">
        <f t="shared" si="19"/>
        <v>200</v>
      </c>
      <c r="R50" s="4">
        <f t="shared" si="20"/>
        <v>800000</v>
      </c>
      <c r="S50" s="3">
        <f t="shared" si="21"/>
        <v>200</v>
      </c>
      <c r="T50" t="str">
        <f t="shared" si="22"/>
        <v>C3500</v>
      </c>
      <c r="V50">
        <v>48</v>
      </c>
      <c r="W50">
        <f t="shared" si="24"/>
        <v>480</v>
      </c>
      <c r="X50">
        <f t="shared" si="8"/>
        <v>480</v>
      </c>
      <c r="Y50">
        <f t="shared" si="25"/>
        <v>60</v>
      </c>
      <c r="Z50" s="4">
        <f t="shared" si="26"/>
        <v>2666666.6666666665</v>
      </c>
      <c r="AA50" s="3">
        <f t="shared" si="26"/>
        <v>60</v>
      </c>
      <c r="AB50" t="str">
        <f t="shared" si="17"/>
        <v>28B0AA</v>
      </c>
    </row>
    <row r="51" spans="14:28">
      <c r="N51">
        <v>49</v>
      </c>
      <c r="O51">
        <f t="shared" si="3"/>
        <v>490</v>
      </c>
      <c r="P51">
        <f t="shared" si="18"/>
        <v>490</v>
      </c>
      <c r="Q51">
        <f t="shared" si="19"/>
        <v>200</v>
      </c>
      <c r="R51" s="4">
        <f t="shared" si="20"/>
        <v>800000</v>
      </c>
      <c r="S51" s="3">
        <f t="shared" si="21"/>
        <v>200</v>
      </c>
      <c r="T51" t="str">
        <f t="shared" si="22"/>
        <v>C3500</v>
      </c>
      <c r="V51">
        <v>49</v>
      </c>
      <c r="W51">
        <f t="shared" si="24"/>
        <v>490</v>
      </c>
      <c r="X51">
        <f t="shared" si="8"/>
        <v>490</v>
      </c>
      <c r="Y51">
        <f t="shared" si="25"/>
        <v>60</v>
      </c>
      <c r="Z51" s="4">
        <f t="shared" si="26"/>
        <v>2666666.6666666665</v>
      </c>
      <c r="AA51" s="3">
        <f t="shared" si="26"/>
        <v>60</v>
      </c>
      <c r="AB51" t="str">
        <f t="shared" si="17"/>
        <v>28B0AA</v>
      </c>
    </row>
    <row r="52" spans="14:28">
      <c r="N52">
        <v>50</v>
      </c>
      <c r="O52">
        <f t="shared" si="3"/>
        <v>500</v>
      </c>
      <c r="P52">
        <f t="shared" si="18"/>
        <v>500</v>
      </c>
      <c r="Q52">
        <f t="shared" si="19"/>
        <v>200</v>
      </c>
      <c r="R52" s="4">
        <f t="shared" si="20"/>
        <v>800000</v>
      </c>
      <c r="S52" s="3">
        <f t="shared" si="21"/>
        <v>200</v>
      </c>
      <c r="T52" t="str">
        <f t="shared" si="22"/>
        <v>C3500</v>
      </c>
      <c r="V52">
        <v>50</v>
      </c>
      <c r="W52">
        <f t="shared" si="24"/>
        <v>500</v>
      </c>
      <c r="X52">
        <f t="shared" si="8"/>
        <v>500</v>
      </c>
      <c r="Y52">
        <f t="shared" si="25"/>
        <v>60</v>
      </c>
      <c r="Z52" s="4">
        <f t="shared" si="26"/>
        <v>2666666.6666666665</v>
      </c>
      <c r="AA52" s="3">
        <f t="shared" si="26"/>
        <v>60</v>
      </c>
      <c r="AB52" t="str">
        <f t="shared" si="17"/>
        <v>28B0AA</v>
      </c>
    </row>
    <row r="53" spans="14:28">
      <c r="N53">
        <v>51</v>
      </c>
      <c r="O53">
        <f t="shared" si="3"/>
        <v>510</v>
      </c>
      <c r="P53">
        <f t="shared" si="18"/>
        <v>510</v>
      </c>
      <c r="Q53">
        <f t="shared" si="19"/>
        <v>200</v>
      </c>
      <c r="R53" s="4">
        <f t="shared" si="20"/>
        <v>800000</v>
      </c>
      <c r="S53" s="3">
        <f t="shared" si="21"/>
        <v>200</v>
      </c>
      <c r="T53" t="str">
        <f t="shared" si="22"/>
        <v>C3500</v>
      </c>
      <c r="V53">
        <v>51</v>
      </c>
      <c r="W53">
        <f t="shared" si="24"/>
        <v>510</v>
      </c>
      <c r="X53">
        <f t="shared" si="8"/>
        <v>510</v>
      </c>
      <c r="Y53">
        <f t="shared" si="25"/>
        <v>60</v>
      </c>
      <c r="Z53" s="4">
        <f t="shared" si="26"/>
        <v>2666666.6666666665</v>
      </c>
      <c r="AA53" s="3">
        <f t="shared" si="26"/>
        <v>60</v>
      </c>
      <c r="AB53" t="str">
        <f t="shared" si="17"/>
        <v>28B0AA</v>
      </c>
    </row>
    <row r="54" spans="14:28">
      <c r="N54">
        <v>52</v>
      </c>
      <c r="O54">
        <f t="shared" si="3"/>
        <v>520</v>
      </c>
      <c r="P54">
        <f t="shared" si="18"/>
        <v>520</v>
      </c>
      <c r="Q54">
        <f t="shared" si="19"/>
        <v>200</v>
      </c>
      <c r="R54" s="4">
        <f t="shared" si="20"/>
        <v>800000</v>
      </c>
      <c r="S54" s="3">
        <f t="shared" si="21"/>
        <v>200</v>
      </c>
      <c r="T54" t="str">
        <f t="shared" si="22"/>
        <v>C3500</v>
      </c>
      <c r="V54">
        <v>52</v>
      </c>
      <c r="W54">
        <f t="shared" si="24"/>
        <v>520</v>
      </c>
      <c r="X54">
        <f t="shared" si="8"/>
        <v>520</v>
      </c>
      <c r="Y54">
        <f t="shared" si="25"/>
        <v>60</v>
      </c>
      <c r="Z54" s="4">
        <f t="shared" si="26"/>
        <v>2666666.6666666665</v>
      </c>
      <c r="AA54" s="3">
        <f t="shared" si="26"/>
        <v>60</v>
      </c>
      <c r="AB54" t="str">
        <f t="shared" si="17"/>
        <v>28B0AA</v>
      </c>
    </row>
    <row r="55" spans="14:28">
      <c r="N55">
        <v>53</v>
      </c>
      <c r="O55">
        <f t="shared" si="3"/>
        <v>530</v>
      </c>
      <c r="P55">
        <f t="shared" si="18"/>
        <v>530</v>
      </c>
      <c r="Q55">
        <f t="shared" si="19"/>
        <v>200</v>
      </c>
      <c r="R55" s="4">
        <f t="shared" si="20"/>
        <v>800000</v>
      </c>
      <c r="S55" s="3">
        <f t="shared" si="21"/>
        <v>200</v>
      </c>
      <c r="T55" t="str">
        <f t="shared" si="22"/>
        <v>C3500</v>
      </c>
      <c r="V55">
        <v>53</v>
      </c>
      <c r="W55">
        <f t="shared" si="24"/>
        <v>530</v>
      </c>
      <c r="X55">
        <f t="shared" si="8"/>
        <v>530</v>
      </c>
      <c r="Y55">
        <f t="shared" si="25"/>
        <v>60</v>
      </c>
      <c r="Z55" s="4">
        <f t="shared" si="26"/>
        <v>2666666.6666666665</v>
      </c>
      <c r="AA55" s="3">
        <f t="shared" si="26"/>
        <v>60</v>
      </c>
      <c r="AB55" t="str">
        <f t="shared" si="17"/>
        <v>28B0AA</v>
      </c>
    </row>
    <row r="56" spans="14:28">
      <c r="N56">
        <v>54</v>
      </c>
      <c r="O56">
        <f t="shared" si="3"/>
        <v>540</v>
      </c>
      <c r="P56">
        <f t="shared" si="18"/>
        <v>540</v>
      </c>
      <c r="Q56">
        <f t="shared" si="19"/>
        <v>200</v>
      </c>
      <c r="R56" s="4">
        <f t="shared" si="20"/>
        <v>800000</v>
      </c>
      <c r="S56" s="3">
        <f t="shared" si="21"/>
        <v>200</v>
      </c>
      <c r="T56" t="str">
        <f t="shared" si="22"/>
        <v>C3500</v>
      </c>
      <c r="V56">
        <v>54</v>
      </c>
      <c r="W56">
        <f t="shared" si="24"/>
        <v>540</v>
      </c>
      <c r="X56">
        <f t="shared" si="8"/>
        <v>540</v>
      </c>
      <c r="Y56">
        <f t="shared" si="25"/>
        <v>60</v>
      </c>
      <c r="Z56" s="4">
        <f t="shared" si="26"/>
        <v>2666666.6666666665</v>
      </c>
      <c r="AA56" s="3">
        <f t="shared" si="26"/>
        <v>60</v>
      </c>
      <c r="AB56" t="str">
        <f t="shared" si="17"/>
        <v>28B0AA</v>
      </c>
    </row>
    <row r="57" spans="14:28">
      <c r="N57">
        <v>55</v>
      </c>
      <c r="O57">
        <f t="shared" si="3"/>
        <v>550</v>
      </c>
      <c r="P57">
        <f t="shared" si="18"/>
        <v>550</v>
      </c>
      <c r="Q57">
        <f t="shared" si="19"/>
        <v>200</v>
      </c>
      <c r="R57" s="4">
        <f t="shared" si="20"/>
        <v>800000</v>
      </c>
      <c r="S57" s="3">
        <f t="shared" si="21"/>
        <v>200</v>
      </c>
      <c r="T57" t="str">
        <f t="shared" si="22"/>
        <v>C3500</v>
      </c>
      <c r="V57">
        <v>55</v>
      </c>
      <c r="W57">
        <f t="shared" si="24"/>
        <v>550</v>
      </c>
      <c r="X57">
        <f t="shared" si="8"/>
        <v>550</v>
      </c>
      <c r="Y57">
        <f t="shared" si="25"/>
        <v>60</v>
      </c>
      <c r="Z57" s="4">
        <f t="shared" si="26"/>
        <v>2666666.6666666665</v>
      </c>
      <c r="AA57" s="3">
        <f t="shared" si="26"/>
        <v>60</v>
      </c>
      <c r="AB57" t="str">
        <f t="shared" si="17"/>
        <v>28B0AA</v>
      </c>
    </row>
    <row r="58" spans="14:28">
      <c r="N58">
        <v>56</v>
      </c>
      <c r="O58">
        <f t="shared" si="3"/>
        <v>560</v>
      </c>
      <c r="P58">
        <f t="shared" si="18"/>
        <v>560</v>
      </c>
      <c r="Q58">
        <f t="shared" si="19"/>
        <v>200</v>
      </c>
      <c r="R58" s="4">
        <f t="shared" si="20"/>
        <v>800000</v>
      </c>
      <c r="S58" s="3">
        <f t="shared" si="21"/>
        <v>200</v>
      </c>
      <c r="T58" t="str">
        <f t="shared" si="22"/>
        <v>C3500</v>
      </c>
      <c r="V58">
        <v>56</v>
      </c>
      <c r="W58">
        <f t="shared" si="24"/>
        <v>560</v>
      </c>
      <c r="X58">
        <f t="shared" si="8"/>
        <v>560</v>
      </c>
      <c r="Y58">
        <f t="shared" si="25"/>
        <v>60</v>
      </c>
      <c r="Z58" s="4">
        <f t="shared" si="26"/>
        <v>2666666.6666666665</v>
      </c>
      <c r="AA58" s="3">
        <f t="shared" si="26"/>
        <v>60</v>
      </c>
      <c r="AB58" t="str">
        <f t="shared" si="17"/>
        <v>28B0AA</v>
      </c>
    </row>
    <row r="59" spans="14:28">
      <c r="N59">
        <v>57</v>
      </c>
      <c r="O59">
        <f t="shared" si="3"/>
        <v>570</v>
      </c>
      <c r="P59">
        <f t="shared" si="18"/>
        <v>570</v>
      </c>
      <c r="Q59">
        <f t="shared" si="19"/>
        <v>200</v>
      </c>
      <c r="R59" s="4">
        <f t="shared" si="20"/>
        <v>800000</v>
      </c>
      <c r="S59" s="3">
        <f t="shared" si="21"/>
        <v>200</v>
      </c>
      <c r="T59" t="str">
        <f t="shared" si="22"/>
        <v>C3500</v>
      </c>
      <c r="V59">
        <v>57</v>
      </c>
      <c r="W59">
        <f t="shared" si="24"/>
        <v>570</v>
      </c>
      <c r="X59">
        <f t="shared" si="8"/>
        <v>570</v>
      </c>
      <c r="Y59">
        <f t="shared" si="25"/>
        <v>60</v>
      </c>
      <c r="Z59" s="4">
        <f t="shared" ref="Z59:AA78" si="27">IFERROR(160*1000*1000/Y59,0)</f>
        <v>2666666.6666666665</v>
      </c>
      <c r="AA59" s="3">
        <f t="shared" si="27"/>
        <v>60</v>
      </c>
      <c r="AB59" t="str">
        <f t="shared" si="17"/>
        <v>28B0AA</v>
      </c>
    </row>
    <row r="60" spans="14:28">
      <c r="N60">
        <v>58</v>
      </c>
      <c r="O60">
        <f t="shared" si="3"/>
        <v>580</v>
      </c>
      <c r="P60">
        <f t="shared" si="18"/>
        <v>580</v>
      </c>
      <c r="Q60">
        <f t="shared" si="19"/>
        <v>200</v>
      </c>
      <c r="R60" s="4">
        <f t="shared" si="20"/>
        <v>800000</v>
      </c>
      <c r="S60" s="3">
        <f t="shared" si="21"/>
        <v>200</v>
      </c>
      <c r="T60" t="str">
        <f t="shared" si="22"/>
        <v>C3500</v>
      </c>
      <c r="V60">
        <v>58</v>
      </c>
      <c r="W60">
        <f t="shared" si="24"/>
        <v>580</v>
      </c>
      <c r="X60">
        <f t="shared" si="8"/>
        <v>580</v>
      </c>
      <c r="Y60">
        <f t="shared" si="25"/>
        <v>60</v>
      </c>
      <c r="Z60" s="4">
        <f t="shared" si="27"/>
        <v>2666666.6666666665</v>
      </c>
      <c r="AA60" s="3">
        <f t="shared" si="27"/>
        <v>60</v>
      </c>
      <c r="AB60" t="str">
        <f t="shared" si="17"/>
        <v>28B0AA</v>
      </c>
    </row>
    <row r="61" spans="14:28">
      <c r="N61">
        <v>59</v>
      </c>
      <c r="O61">
        <f t="shared" si="3"/>
        <v>590</v>
      </c>
      <c r="P61">
        <f t="shared" si="18"/>
        <v>590</v>
      </c>
      <c r="Q61">
        <f t="shared" si="19"/>
        <v>200</v>
      </c>
      <c r="R61" s="4">
        <f t="shared" si="20"/>
        <v>800000</v>
      </c>
      <c r="S61" s="3">
        <f t="shared" si="21"/>
        <v>200</v>
      </c>
      <c r="T61" t="str">
        <f t="shared" si="22"/>
        <v>C3500</v>
      </c>
      <c r="V61">
        <v>59</v>
      </c>
      <c r="W61">
        <f t="shared" si="24"/>
        <v>590</v>
      </c>
      <c r="X61">
        <f t="shared" si="8"/>
        <v>590</v>
      </c>
      <c r="Y61">
        <f t="shared" si="25"/>
        <v>60</v>
      </c>
      <c r="Z61" s="4">
        <f t="shared" si="27"/>
        <v>2666666.6666666665</v>
      </c>
      <c r="AA61" s="3">
        <f t="shared" si="27"/>
        <v>60</v>
      </c>
      <c r="AB61" t="str">
        <f t="shared" si="17"/>
        <v>28B0AA</v>
      </c>
    </row>
    <row r="62" spans="14:28">
      <c r="N62">
        <v>60</v>
      </c>
      <c r="O62">
        <f t="shared" si="3"/>
        <v>600</v>
      </c>
      <c r="P62">
        <f t="shared" si="18"/>
        <v>600</v>
      </c>
      <c r="Q62">
        <f t="shared" si="19"/>
        <v>200</v>
      </c>
      <c r="R62" s="4">
        <f t="shared" si="20"/>
        <v>800000</v>
      </c>
      <c r="S62" s="3">
        <f t="shared" si="21"/>
        <v>200</v>
      </c>
      <c r="T62" t="str">
        <f t="shared" si="22"/>
        <v>C3500</v>
      </c>
      <c r="V62">
        <v>60</v>
      </c>
      <c r="W62">
        <f t="shared" si="24"/>
        <v>600</v>
      </c>
      <c r="X62">
        <f t="shared" si="8"/>
        <v>600</v>
      </c>
      <c r="Y62">
        <f t="shared" si="25"/>
        <v>60</v>
      </c>
      <c r="Z62" s="4">
        <f t="shared" si="27"/>
        <v>2666666.6666666665</v>
      </c>
      <c r="AA62" s="3">
        <f t="shared" si="27"/>
        <v>60</v>
      </c>
      <c r="AB62" t="str">
        <f t="shared" si="17"/>
        <v>28B0AA</v>
      </c>
    </row>
    <row r="63" spans="14:28">
      <c r="N63">
        <v>61</v>
      </c>
      <c r="O63">
        <f t="shared" si="3"/>
        <v>610</v>
      </c>
      <c r="P63">
        <f t="shared" si="18"/>
        <v>610</v>
      </c>
      <c r="Q63">
        <f t="shared" si="19"/>
        <v>200</v>
      </c>
      <c r="R63" s="4">
        <f t="shared" si="20"/>
        <v>800000</v>
      </c>
      <c r="S63" s="3">
        <f t="shared" si="21"/>
        <v>200</v>
      </c>
      <c r="T63" t="str">
        <f t="shared" si="22"/>
        <v>C3500</v>
      </c>
      <c r="V63">
        <v>61</v>
      </c>
      <c r="W63">
        <f t="shared" ref="W63:W126" si="28">MOD(X63,$A$14+$A$15)</f>
        <v>610</v>
      </c>
      <c r="X63">
        <f t="shared" si="8"/>
        <v>610</v>
      </c>
      <c r="Y63">
        <f t="shared" ref="Y63:Y126" si="29">IF(W63&gt;$A$14,0,IF(W63&lt;$A$13,W63/($A$13)*($A$11-$A$12)+$A$12,IF($A$14-W63&lt;$A$13,($A$14-W63)/($A$13)*($A$11-$A$12)+$A$12,$A$11)))</f>
        <v>60</v>
      </c>
      <c r="Z63" s="4">
        <f t="shared" si="27"/>
        <v>2666666.6666666665</v>
      </c>
      <c r="AA63" s="3">
        <f t="shared" si="27"/>
        <v>60</v>
      </c>
      <c r="AB63" t="str">
        <f t="shared" si="17"/>
        <v>28B0AA</v>
      </c>
    </row>
    <row r="64" spans="14:28">
      <c r="N64">
        <v>62</v>
      </c>
      <c r="O64">
        <f t="shared" si="3"/>
        <v>620</v>
      </c>
      <c r="P64">
        <f t="shared" si="18"/>
        <v>620</v>
      </c>
      <c r="Q64">
        <f t="shared" si="19"/>
        <v>200</v>
      </c>
      <c r="R64" s="4">
        <f t="shared" si="20"/>
        <v>800000</v>
      </c>
      <c r="S64" s="3">
        <f t="shared" si="21"/>
        <v>200</v>
      </c>
      <c r="T64" t="str">
        <f t="shared" si="22"/>
        <v>C3500</v>
      </c>
      <c r="V64">
        <v>62</v>
      </c>
      <c r="W64">
        <f t="shared" si="28"/>
        <v>620</v>
      </c>
      <c r="X64">
        <f t="shared" ref="X64:X127" si="30">V64*10</f>
        <v>620</v>
      </c>
      <c r="Y64">
        <f t="shared" si="29"/>
        <v>60</v>
      </c>
      <c r="Z64" s="4">
        <f t="shared" si="27"/>
        <v>2666666.6666666665</v>
      </c>
      <c r="AA64" s="3">
        <f t="shared" si="27"/>
        <v>60</v>
      </c>
      <c r="AB64" t="str">
        <f t="shared" si="17"/>
        <v>28B0AA</v>
      </c>
    </row>
    <row r="65" spans="14:28">
      <c r="N65">
        <v>63</v>
      </c>
      <c r="O65">
        <f t="shared" si="3"/>
        <v>630</v>
      </c>
      <c r="P65">
        <f t="shared" si="18"/>
        <v>630</v>
      </c>
      <c r="Q65">
        <f t="shared" si="19"/>
        <v>200</v>
      </c>
      <c r="R65" s="4">
        <f t="shared" si="20"/>
        <v>800000</v>
      </c>
      <c r="S65" s="3">
        <f t="shared" si="21"/>
        <v>200</v>
      </c>
      <c r="T65" t="str">
        <f t="shared" si="22"/>
        <v>C3500</v>
      </c>
      <c r="V65">
        <v>63</v>
      </c>
      <c r="W65">
        <f t="shared" si="28"/>
        <v>630</v>
      </c>
      <c r="X65">
        <f t="shared" si="30"/>
        <v>630</v>
      </c>
      <c r="Y65">
        <f t="shared" si="29"/>
        <v>60</v>
      </c>
      <c r="Z65" s="4">
        <f t="shared" si="27"/>
        <v>2666666.6666666665</v>
      </c>
      <c r="AA65" s="3">
        <f t="shared" si="27"/>
        <v>60</v>
      </c>
      <c r="AB65" t="str">
        <f t="shared" si="17"/>
        <v>28B0AA</v>
      </c>
    </row>
    <row r="66" spans="14:28">
      <c r="N66">
        <v>64</v>
      </c>
      <c r="O66">
        <f t="shared" si="3"/>
        <v>640</v>
      </c>
      <c r="P66">
        <f t="shared" si="18"/>
        <v>640</v>
      </c>
      <c r="Q66">
        <f t="shared" si="19"/>
        <v>200</v>
      </c>
      <c r="R66" s="4">
        <f t="shared" si="20"/>
        <v>800000</v>
      </c>
      <c r="S66" s="3">
        <f t="shared" si="21"/>
        <v>200</v>
      </c>
      <c r="T66" t="str">
        <f t="shared" si="22"/>
        <v>C3500</v>
      </c>
      <c r="V66">
        <v>64</v>
      </c>
      <c r="W66">
        <f t="shared" si="28"/>
        <v>640</v>
      </c>
      <c r="X66">
        <f t="shared" si="30"/>
        <v>640</v>
      </c>
      <c r="Y66">
        <f t="shared" si="29"/>
        <v>60</v>
      </c>
      <c r="Z66" s="4">
        <f t="shared" si="27"/>
        <v>2666666.6666666665</v>
      </c>
      <c r="AA66" s="3">
        <f t="shared" si="27"/>
        <v>60</v>
      </c>
      <c r="AB66" t="str">
        <f t="shared" ref="AB66:AB129" si="31">DEC2HEX(Z66)</f>
        <v>28B0AA</v>
      </c>
    </row>
    <row r="67" spans="14:28">
      <c r="N67">
        <v>65</v>
      </c>
      <c r="O67">
        <f t="shared" ref="O67:O130" si="32">MOD(P67,$A$5+$A$6)</f>
        <v>650</v>
      </c>
      <c r="P67">
        <f t="shared" si="18"/>
        <v>650</v>
      </c>
      <c r="Q67">
        <f t="shared" si="19"/>
        <v>200</v>
      </c>
      <c r="R67" s="4">
        <f t="shared" si="20"/>
        <v>800000</v>
      </c>
      <c r="S67" s="3">
        <f t="shared" si="21"/>
        <v>200</v>
      </c>
      <c r="T67" t="str">
        <f t="shared" si="22"/>
        <v>C3500</v>
      </c>
      <c r="V67">
        <v>65</v>
      </c>
      <c r="W67">
        <f t="shared" si="28"/>
        <v>650</v>
      </c>
      <c r="X67">
        <f t="shared" si="30"/>
        <v>650</v>
      </c>
      <c r="Y67">
        <f t="shared" si="29"/>
        <v>60</v>
      </c>
      <c r="Z67" s="4">
        <f t="shared" si="27"/>
        <v>2666666.6666666665</v>
      </c>
      <c r="AA67" s="3">
        <f t="shared" si="27"/>
        <v>60</v>
      </c>
      <c r="AB67" t="str">
        <f t="shared" si="31"/>
        <v>28B0AA</v>
      </c>
    </row>
    <row r="68" spans="14:28">
      <c r="N68">
        <v>66</v>
      </c>
      <c r="O68">
        <f t="shared" si="32"/>
        <v>660</v>
      </c>
      <c r="P68">
        <f t="shared" si="18"/>
        <v>660</v>
      </c>
      <c r="Q68">
        <f t="shared" si="19"/>
        <v>200</v>
      </c>
      <c r="R68" s="4">
        <f t="shared" si="20"/>
        <v>800000</v>
      </c>
      <c r="S68" s="3">
        <f t="shared" si="21"/>
        <v>200</v>
      </c>
      <c r="T68" t="str">
        <f t="shared" si="22"/>
        <v>C3500</v>
      </c>
      <c r="V68">
        <v>66</v>
      </c>
      <c r="W68">
        <f t="shared" si="28"/>
        <v>660</v>
      </c>
      <c r="X68">
        <f t="shared" si="30"/>
        <v>660</v>
      </c>
      <c r="Y68">
        <f t="shared" si="29"/>
        <v>60</v>
      </c>
      <c r="Z68" s="4">
        <f t="shared" si="27"/>
        <v>2666666.6666666665</v>
      </c>
      <c r="AA68" s="3">
        <f t="shared" si="27"/>
        <v>60</v>
      </c>
      <c r="AB68" t="str">
        <f t="shared" si="31"/>
        <v>28B0AA</v>
      </c>
    </row>
    <row r="69" spans="14:28">
      <c r="N69">
        <v>67</v>
      </c>
      <c r="O69">
        <f t="shared" si="32"/>
        <v>670</v>
      </c>
      <c r="P69">
        <f t="shared" si="18"/>
        <v>670</v>
      </c>
      <c r="Q69">
        <f t="shared" si="19"/>
        <v>200</v>
      </c>
      <c r="R69" s="4">
        <f t="shared" si="20"/>
        <v>800000</v>
      </c>
      <c r="S69" s="3">
        <f t="shared" si="21"/>
        <v>200</v>
      </c>
      <c r="T69" t="str">
        <f t="shared" si="22"/>
        <v>C3500</v>
      </c>
      <c r="V69">
        <v>67</v>
      </c>
      <c r="W69">
        <f t="shared" si="28"/>
        <v>670</v>
      </c>
      <c r="X69">
        <f t="shared" si="30"/>
        <v>670</v>
      </c>
      <c r="Y69">
        <f t="shared" si="29"/>
        <v>60</v>
      </c>
      <c r="Z69" s="4">
        <f t="shared" si="27"/>
        <v>2666666.6666666665</v>
      </c>
      <c r="AA69" s="3">
        <f t="shared" si="27"/>
        <v>60</v>
      </c>
      <c r="AB69" t="str">
        <f t="shared" si="31"/>
        <v>28B0AA</v>
      </c>
    </row>
    <row r="70" spans="14:28">
      <c r="N70">
        <v>68</v>
      </c>
      <c r="O70">
        <f t="shared" si="32"/>
        <v>680</v>
      </c>
      <c r="P70">
        <f t="shared" si="18"/>
        <v>680</v>
      </c>
      <c r="Q70">
        <f t="shared" si="19"/>
        <v>200</v>
      </c>
      <c r="R70" s="4">
        <f t="shared" si="20"/>
        <v>800000</v>
      </c>
      <c r="S70" s="3">
        <f t="shared" si="21"/>
        <v>200</v>
      </c>
      <c r="T70" t="str">
        <f t="shared" si="22"/>
        <v>C3500</v>
      </c>
      <c r="V70">
        <v>68</v>
      </c>
      <c r="W70">
        <f t="shared" si="28"/>
        <v>680</v>
      </c>
      <c r="X70">
        <f t="shared" si="30"/>
        <v>680</v>
      </c>
      <c r="Y70">
        <f t="shared" si="29"/>
        <v>60</v>
      </c>
      <c r="Z70" s="4">
        <f t="shared" si="27"/>
        <v>2666666.6666666665</v>
      </c>
      <c r="AA70" s="3">
        <f t="shared" si="27"/>
        <v>60</v>
      </c>
      <c r="AB70" t="str">
        <f t="shared" si="31"/>
        <v>28B0AA</v>
      </c>
    </row>
    <row r="71" spans="14:28">
      <c r="N71">
        <v>69</v>
      </c>
      <c r="O71">
        <f t="shared" si="32"/>
        <v>690</v>
      </c>
      <c r="P71">
        <f t="shared" si="18"/>
        <v>690</v>
      </c>
      <c r="Q71">
        <f t="shared" si="19"/>
        <v>200</v>
      </c>
      <c r="R71" s="4">
        <f t="shared" si="20"/>
        <v>800000</v>
      </c>
      <c r="S71" s="3">
        <f t="shared" si="21"/>
        <v>200</v>
      </c>
      <c r="T71" t="str">
        <f t="shared" si="22"/>
        <v>C3500</v>
      </c>
      <c r="V71">
        <v>69</v>
      </c>
      <c r="W71">
        <f t="shared" si="28"/>
        <v>690</v>
      </c>
      <c r="X71">
        <f t="shared" si="30"/>
        <v>690</v>
      </c>
      <c r="Y71">
        <f t="shared" si="29"/>
        <v>60</v>
      </c>
      <c r="Z71" s="4">
        <f t="shared" si="27"/>
        <v>2666666.6666666665</v>
      </c>
      <c r="AA71" s="3">
        <f t="shared" si="27"/>
        <v>60</v>
      </c>
      <c r="AB71" t="str">
        <f t="shared" si="31"/>
        <v>28B0AA</v>
      </c>
    </row>
    <row r="72" spans="14:28">
      <c r="N72">
        <v>70</v>
      </c>
      <c r="O72">
        <f t="shared" si="32"/>
        <v>700</v>
      </c>
      <c r="P72">
        <f t="shared" si="18"/>
        <v>700</v>
      </c>
      <c r="Q72">
        <f t="shared" si="19"/>
        <v>200</v>
      </c>
      <c r="R72" s="4">
        <f t="shared" si="20"/>
        <v>800000</v>
      </c>
      <c r="S72" s="3">
        <f t="shared" si="21"/>
        <v>200</v>
      </c>
      <c r="T72" t="str">
        <f t="shared" si="22"/>
        <v>C3500</v>
      </c>
      <c r="V72">
        <v>70</v>
      </c>
      <c r="W72">
        <f t="shared" si="28"/>
        <v>700</v>
      </c>
      <c r="X72">
        <f t="shared" si="30"/>
        <v>700</v>
      </c>
      <c r="Y72">
        <f t="shared" si="29"/>
        <v>60</v>
      </c>
      <c r="Z72" s="4">
        <f t="shared" si="27"/>
        <v>2666666.6666666665</v>
      </c>
      <c r="AA72" s="3">
        <f t="shared" si="27"/>
        <v>60</v>
      </c>
      <c r="AB72" t="str">
        <f t="shared" si="31"/>
        <v>28B0AA</v>
      </c>
    </row>
    <row r="73" spans="14:28">
      <c r="N73">
        <v>71</v>
      </c>
      <c r="O73">
        <f t="shared" si="32"/>
        <v>710</v>
      </c>
      <c r="P73">
        <f t="shared" si="18"/>
        <v>710</v>
      </c>
      <c r="Q73">
        <f t="shared" si="19"/>
        <v>200</v>
      </c>
      <c r="R73" s="4">
        <f t="shared" si="20"/>
        <v>800000</v>
      </c>
      <c r="S73" s="3">
        <f t="shared" si="21"/>
        <v>200</v>
      </c>
      <c r="T73" t="str">
        <f t="shared" si="22"/>
        <v>C3500</v>
      </c>
      <c r="V73">
        <v>71</v>
      </c>
      <c r="W73">
        <f t="shared" si="28"/>
        <v>710</v>
      </c>
      <c r="X73">
        <f t="shared" si="30"/>
        <v>710</v>
      </c>
      <c r="Y73">
        <f t="shared" si="29"/>
        <v>60</v>
      </c>
      <c r="Z73" s="4">
        <f t="shared" si="27"/>
        <v>2666666.6666666665</v>
      </c>
      <c r="AA73" s="3">
        <f t="shared" si="27"/>
        <v>60</v>
      </c>
      <c r="AB73" t="str">
        <f t="shared" si="31"/>
        <v>28B0AA</v>
      </c>
    </row>
    <row r="74" spans="14:28">
      <c r="N74">
        <v>72</v>
      </c>
      <c r="O74">
        <f t="shared" si="32"/>
        <v>720</v>
      </c>
      <c r="P74">
        <f t="shared" si="18"/>
        <v>720</v>
      </c>
      <c r="Q74">
        <f t="shared" si="19"/>
        <v>200</v>
      </c>
      <c r="R74" s="4">
        <f t="shared" si="20"/>
        <v>800000</v>
      </c>
      <c r="S74" s="3">
        <f t="shared" si="21"/>
        <v>200</v>
      </c>
      <c r="T74" t="str">
        <f t="shared" si="22"/>
        <v>C3500</v>
      </c>
      <c r="V74">
        <v>72</v>
      </c>
      <c r="W74">
        <f t="shared" si="28"/>
        <v>720</v>
      </c>
      <c r="X74">
        <f t="shared" si="30"/>
        <v>720</v>
      </c>
      <c r="Y74">
        <f t="shared" si="29"/>
        <v>60</v>
      </c>
      <c r="Z74" s="4">
        <f t="shared" si="27"/>
        <v>2666666.6666666665</v>
      </c>
      <c r="AA74" s="3">
        <f t="shared" si="27"/>
        <v>60</v>
      </c>
      <c r="AB74" t="str">
        <f t="shared" si="31"/>
        <v>28B0AA</v>
      </c>
    </row>
    <row r="75" spans="14:28">
      <c r="N75">
        <v>73</v>
      </c>
      <c r="O75">
        <f t="shared" si="32"/>
        <v>730</v>
      </c>
      <c r="P75">
        <f t="shared" ref="P75:P138" si="33">N75*10</f>
        <v>730</v>
      </c>
      <c r="Q75">
        <f t="shared" ref="Q75:Q138" si="34">IF(O75&gt;$A$5,0,IF(O75&lt;$A$4,O75/($A$4)*($A$2-$A$3)+$A$3,IF($A$5-O75&lt;$A$4,($A$5-O75)/($A$4)*($A$2-$A$3)+$A$3,$A$2)))</f>
        <v>200</v>
      </c>
      <c r="R75" s="4">
        <f t="shared" ref="R75:R138" si="35">IFERROR(160*1000*1000/Q75,0)</f>
        <v>800000</v>
      </c>
      <c r="S75" s="3">
        <f t="shared" ref="S75:S138" si="36">IFERROR(160*1000*1000/R75,0)</f>
        <v>200</v>
      </c>
      <c r="T75" t="str">
        <f t="shared" ref="T75:T138" si="37">DEC2HEX(R75)</f>
        <v>C3500</v>
      </c>
      <c r="V75">
        <v>73</v>
      </c>
      <c r="W75">
        <f t="shared" si="28"/>
        <v>730</v>
      </c>
      <c r="X75">
        <f t="shared" si="30"/>
        <v>730</v>
      </c>
      <c r="Y75">
        <f t="shared" si="29"/>
        <v>60</v>
      </c>
      <c r="Z75" s="4">
        <f t="shared" si="27"/>
        <v>2666666.6666666665</v>
      </c>
      <c r="AA75" s="3">
        <f t="shared" si="27"/>
        <v>60</v>
      </c>
      <c r="AB75" t="str">
        <f t="shared" si="31"/>
        <v>28B0AA</v>
      </c>
    </row>
    <row r="76" spans="14:28">
      <c r="N76">
        <v>74</v>
      </c>
      <c r="O76">
        <f t="shared" si="32"/>
        <v>740</v>
      </c>
      <c r="P76">
        <f t="shared" si="33"/>
        <v>740</v>
      </c>
      <c r="Q76">
        <f t="shared" si="34"/>
        <v>200</v>
      </c>
      <c r="R76" s="4">
        <f t="shared" si="35"/>
        <v>800000</v>
      </c>
      <c r="S76" s="3">
        <f t="shared" si="36"/>
        <v>200</v>
      </c>
      <c r="T76" t="str">
        <f t="shared" si="37"/>
        <v>C3500</v>
      </c>
      <c r="V76">
        <v>74</v>
      </c>
      <c r="W76">
        <f t="shared" si="28"/>
        <v>740</v>
      </c>
      <c r="X76">
        <f t="shared" si="30"/>
        <v>740</v>
      </c>
      <c r="Y76">
        <f t="shared" si="29"/>
        <v>60</v>
      </c>
      <c r="Z76" s="4">
        <f t="shared" si="27"/>
        <v>2666666.6666666665</v>
      </c>
      <c r="AA76" s="3">
        <f t="shared" si="27"/>
        <v>60</v>
      </c>
      <c r="AB76" t="str">
        <f t="shared" si="31"/>
        <v>28B0AA</v>
      </c>
    </row>
    <row r="77" spans="14:28">
      <c r="N77">
        <v>75</v>
      </c>
      <c r="O77">
        <f t="shared" si="32"/>
        <v>750</v>
      </c>
      <c r="P77">
        <f t="shared" si="33"/>
        <v>750</v>
      </c>
      <c r="Q77">
        <f t="shared" si="34"/>
        <v>200</v>
      </c>
      <c r="R77" s="4">
        <f t="shared" si="35"/>
        <v>800000</v>
      </c>
      <c r="S77" s="3">
        <f t="shared" si="36"/>
        <v>200</v>
      </c>
      <c r="T77" t="str">
        <f t="shared" si="37"/>
        <v>C3500</v>
      </c>
      <c r="V77">
        <v>75</v>
      </c>
      <c r="W77">
        <f t="shared" si="28"/>
        <v>750</v>
      </c>
      <c r="X77">
        <f t="shared" si="30"/>
        <v>750</v>
      </c>
      <c r="Y77">
        <f t="shared" si="29"/>
        <v>60</v>
      </c>
      <c r="Z77" s="4">
        <f t="shared" si="27"/>
        <v>2666666.6666666665</v>
      </c>
      <c r="AA77" s="3">
        <f t="shared" si="27"/>
        <v>60</v>
      </c>
      <c r="AB77" t="str">
        <f t="shared" si="31"/>
        <v>28B0AA</v>
      </c>
    </row>
    <row r="78" spans="14:28">
      <c r="N78">
        <v>76</v>
      </c>
      <c r="O78">
        <f t="shared" si="32"/>
        <v>760</v>
      </c>
      <c r="P78">
        <f t="shared" si="33"/>
        <v>760</v>
      </c>
      <c r="Q78">
        <f t="shared" si="34"/>
        <v>200</v>
      </c>
      <c r="R78" s="4">
        <f t="shared" si="35"/>
        <v>800000</v>
      </c>
      <c r="S78" s="3">
        <f t="shared" si="36"/>
        <v>200</v>
      </c>
      <c r="T78" t="str">
        <f t="shared" si="37"/>
        <v>C3500</v>
      </c>
      <c r="V78">
        <v>76</v>
      </c>
      <c r="W78">
        <f t="shared" si="28"/>
        <v>760</v>
      </c>
      <c r="X78">
        <f t="shared" si="30"/>
        <v>760</v>
      </c>
      <c r="Y78">
        <f t="shared" si="29"/>
        <v>60</v>
      </c>
      <c r="Z78" s="4">
        <f t="shared" si="27"/>
        <v>2666666.6666666665</v>
      </c>
      <c r="AA78" s="3">
        <f t="shared" si="27"/>
        <v>60</v>
      </c>
      <c r="AB78" t="str">
        <f t="shared" si="31"/>
        <v>28B0AA</v>
      </c>
    </row>
    <row r="79" spans="14:28">
      <c r="N79">
        <v>77</v>
      </c>
      <c r="O79">
        <f t="shared" si="32"/>
        <v>770</v>
      </c>
      <c r="P79">
        <f t="shared" si="33"/>
        <v>770</v>
      </c>
      <c r="Q79">
        <f t="shared" si="34"/>
        <v>200</v>
      </c>
      <c r="R79" s="4">
        <f t="shared" si="35"/>
        <v>800000</v>
      </c>
      <c r="S79" s="3">
        <f t="shared" si="36"/>
        <v>200</v>
      </c>
      <c r="T79" t="str">
        <f t="shared" si="37"/>
        <v>C3500</v>
      </c>
      <c r="V79">
        <v>77</v>
      </c>
      <c r="W79">
        <f t="shared" si="28"/>
        <v>770</v>
      </c>
      <c r="X79">
        <f t="shared" si="30"/>
        <v>770</v>
      </c>
      <c r="Y79">
        <f t="shared" si="29"/>
        <v>60</v>
      </c>
      <c r="Z79" s="4">
        <f t="shared" ref="Z79:AA98" si="38">IFERROR(160*1000*1000/Y79,0)</f>
        <v>2666666.6666666665</v>
      </c>
      <c r="AA79" s="3">
        <f t="shared" si="38"/>
        <v>60</v>
      </c>
      <c r="AB79" t="str">
        <f t="shared" si="31"/>
        <v>28B0AA</v>
      </c>
    </row>
    <row r="80" spans="14:28">
      <c r="N80">
        <v>78</v>
      </c>
      <c r="O80">
        <f t="shared" si="32"/>
        <v>780</v>
      </c>
      <c r="P80">
        <f t="shared" si="33"/>
        <v>780</v>
      </c>
      <c r="Q80">
        <f t="shared" si="34"/>
        <v>200</v>
      </c>
      <c r="R80" s="4">
        <f t="shared" si="35"/>
        <v>800000</v>
      </c>
      <c r="S80" s="3">
        <f t="shared" si="36"/>
        <v>200</v>
      </c>
      <c r="T80" t="str">
        <f t="shared" si="37"/>
        <v>C3500</v>
      </c>
      <c r="V80">
        <v>78</v>
      </c>
      <c r="W80">
        <f t="shared" si="28"/>
        <v>780</v>
      </c>
      <c r="X80">
        <f t="shared" si="30"/>
        <v>780</v>
      </c>
      <c r="Y80">
        <f t="shared" si="29"/>
        <v>60</v>
      </c>
      <c r="Z80" s="4">
        <f t="shared" si="38"/>
        <v>2666666.6666666665</v>
      </c>
      <c r="AA80" s="3">
        <f t="shared" si="38"/>
        <v>60</v>
      </c>
      <c r="AB80" t="str">
        <f t="shared" si="31"/>
        <v>28B0AA</v>
      </c>
    </row>
    <row r="81" spans="14:28">
      <c r="N81">
        <v>79</v>
      </c>
      <c r="O81">
        <f t="shared" si="32"/>
        <v>790</v>
      </c>
      <c r="P81">
        <f t="shared" si="33"/>
        <v>790</v>
      </c>
      <c r="Q81">
        <f t="shared" si="34"/>
        <v>200</v>
      </c>
      <c r="R81" s="4">
        <f t="shared" si="35"/>
        <v>800000</v>
      </c>
      <c r="S81" s="3">
        <f t="shared" si="36"/>
        <v>200</v>
      </c>
      <c r="T81" t="str">
        <f t="shared" si="37"/>
        <v>C3500</v>
      </c>
      <c r="V81">
        <v>79</v>
      </c>
      <c r="W81">
        <f t="shared" si="28"/>
        <v>790</v>
      </c>
      <c r="X81">
        <f t="shared" si="30"/>
        <v>790</v>
      </c>
      <c r="Y81">
        <f t="shared" si="29"/>
        <v>60</v>
      </c>
      <c r="Z81" s="4">
        <f t="shared" si="38"/>
        <v>2666666.6666666665</v>
      </c>
      <c r="AA81" s="3">
        <f t="shared" si="38"/>
        <v>60</v>
      </c>
      <c r="AB81" t="str">
        <f t="shared" si="31"/>
        <v>28B0AA</v>
      </c>
    </row>
    <row r="82" spans="14:28">
      <c r="N82">
        <v>80</v>
      </c>
      <c r="O82">
        <f t="shared" si="32"/>
        <v>800</v>
      </c>
      <c r="P82">
        <f t="shared" si="33"/>
        <v>800</v>
      </c>
      <c r="Q82">
        <f t="shared" si="34"/>
        <v>200</v>
      </c>
      <c r="R82" s="4">
        <f t="shared" si="35"/>
        <v>800000</v>
      </c>
      <c r="S82" s="3">
        <f t="shared" si="36"/>
        <v>200</v>
      </c>
      <c r="T82" t="str">
        <f t="shared" si="37"/>
        <v>C3500</v>
      </c>
      <c r="V82">
        <v>80</v>
      </c>
      <c r="W82">
        <f t="shared" si="28"/>
        <v>800</v>
      </c>
      <c r="X82">
        <f t="shared" si="30"/>
        <v>800</v>
      </c>
      <c r="Y82">
        <f t="shared" si="29"/>
        <v>60</v>
      </c>
      <c r="Z82" s="4">
        <f t="shared" si="38"/>
        <v>2666666.6666666665</v>
      </c>
      <c r="AA82" s="3">
        <f t="shared" si="38"/>
        <v>60</v>
      </c>
      <c r="AB82" t="str">
        <f t="shared" si="31"/>
        <v>28B0AA</v>
      </c>
    </row>
    <row r="83" spans="14:28">
      <c r="N83">
        <v>81</v>
      </c>
      <c r="O83">
        <f t="shared" si="32"/>
        <v>810</v>
      </c>
      <c r="P83">
        <f t="shared" si="33"/>
        <v>810</v>
      </c>
      <c r="Q83">
        <f t="shared" si="34"/>
        <v>200</v>
      </c>
      <c r="R83" s="4">
        <f t="shared" si="35"/>
        <v>800000</v>
      </c>
      <c r="S83" s="3">
        <f t="shared" si="36"/>
        <v>200</v>
      </c>
      <c r="T83" t="str">
        <f t="shared" si="37"/>
        <v>C3500</v>
      </c>
      <c r="V83">
        <v>81</v>
      </c>
      <c r="W83">
        <f t="shared" si="28"/>
        <v>810</v>
      </c>
      <c r="X83">
        <f t="shared" si="30"/>
        <v>810</v>
      </c>
      <c r="Y83">
        <f t="shared" si="29"/>
        <v>60</v>
      </c>
      <c r="Z83" s="4">
        <f t="shared" si="38"/>
        <v>2666666.6666666665</v>
      </c>
      <c r="AA83" s="3">
        <f t="shared" si="38"/>
        <v>60</v>
      </c>
      <c r="AB83" t="str">
        <f t="shared" si="31"/>
        <v>28B0AA</v>
      </c>
    </row>
    <row r="84" spans="14:28">
      <c r="N84">
        <v>82</v>
      </c>
      <c r="O84">
        <f t="shared" si="32"/>
        <v>820</v>
      </c>
      <c r="P84">
        <f t="shared" si="33"/>
        <v>820</v>
      </c>
      <c r="Q84">
        <f t="shared" si="34"/>
        <v>200</v>
      </c>
      <c r="R84" s="4">
        <f t="shared" si="35"/>
        <v>800000</v>
      </c>
      <c r="S84" s="3">
        <f t="shared" si="36"/>
        <v>200</v>
      </c>
      <c r="T84" t="str">
        <f t="shared" si="37"/>
        <v>C3500</v>
      </c>
      <c r="V84">
        <v>82</v>
      </c>
      <c r="W84">
        <f t="shared" si="28"/>
        <v>820</v>
      </c>
      <c r="X84">
        <f t="shared" si="30"/>
        <v>820</v>
      </c>
      <c r="Y84">
        <f t="shared" si="29"/>
        <v>60</v>
      </c>
      <c r="Z84" s="4">
        <f t="shared" si="38"/>
        <v>2666666.6666666665</v>
      </c>
      <c r="AA84" s="3">
        <f t="shared" si="38"/>
        <v>60</v>
      </c>
      <c r="AB84" t="str">
        <f t="shared" si="31"/>
        <v>28B0AA</v>
      </c>
    </row>
    <row r="85" spans="14:28">
      <c r="N85">
        <v>83</v>
      </c>
      <c r="O85">
        <f t="shared" si="32"/>
        <v>830</v>
      </c>
      <c r="P85">
        <f t="shared" si="33"/>
        <v>830</v>
      </c>
      <c r="Q85">
        <f t="shared" si="34"/>
        <v>200</v>
      </c>
      <c r="R85" s="4">
        <f t="shared" si="35"/>
        <v>800000</v>
      </c>
      <c r="S85" s="3">
        <f t="shared" si="36"/>
        <v>200</v>
      </c>
      <c r="T85" t="str">
        <f t="shared" si="37"/>
        <v>C3500</v>
      </c>
      <c r="V85">
        <v>83</v>
      </c>
      <c r="W85">
        <f t="shared" si="28"/>
        <v>830</v>
      </c>
      <c r="X85">
        <f t="shared" si="30"/>
        <v>830</v>
      </c>
      <c r="Y85">
        <f t="shared" si="29"/>
        <v>60</v>
      </c>
      <c r="Z85" s="4">
        <f t="shared" si="38"/>
        <v>2666666.6666666665</v>
      </c>
      <c r="AA85" s="3">
        <f t="shared" si="38"/>
        <v>60</v>
      </c>
      <c r="AB85" t="str">
        <f t="shared" si="31"/>
        <v>28B0AA</v>
      </c>
    </row>
    <row r="86" spans="14:28">
      <c r="N86">
        <v>84</v>
      </c>
      <c r="O86">
        <f t="shared" si="32"/>
        <v>840</v>
      </c>
      <c r="P86">
        <f t="shared" si="33"/>
        <v>840</v>
      </c>
      <c r="Q86">
        <f t="shared" si="34"/>
        <v>200</v>
      </c>
      <c r="R86" s="4">
        <f t="shared" si="35"/>
        <v>800000</v>
      </c>
      <c r="S86" s="3">
        <f t="shared" si="36"/>
        <v>200</v>
      </c>
      <c r="T86" t="str">
        <f t="shared" si="37"/>
        <v>C3500</v>
      </c>
      <c r="V86">
        <v>84</v>
      </c>
      <c r="W86">
        <f t="shared" si="28"/>
        <v>840</v>
      </c>
      <c r="X86">
        <f t="shared" si="30"/>
        <v>840</v>
      </c>
      <c r="Y86">
        <f t="shared" si="29"/>
        <v>60</v>
      </c>
      <c r="Z86" s="4">
        <f t="shared" si="38"/>
        <v>2666666.6666666665</v>
      </c>
      <c r="AA86" s="3">
        <f t="shared" si="38"/>
        <v>60</v>
      </c>
      <c r="AB86" t="str">
        <f t="shared" si="31"/>
        <v>28B0AA</v>
      </c>
    </row>
    <row r="87" spans="14:28">
      <c r="N87">
        <v>85</v>
      </c>
      <c r="O87">
        <f t="shared" si="32"/>
        <v>850</v>
      </c>
      <c r="P87">
        <f t="shared" si="33"/>
        <v>850</v>
      </c>
      <c r="Q87">
        <f t="shared" si="34"/>
        <v>200</v>
      </c>
      <c r="R87" s="4">
        <f t="shared" si="35"/>
        <v>800000</v>
      </c>
      <c r="S87" s="3">
        <f t="shared" si="36"/>
        <v>200</v>
      </c>
      <c r="T87" t="str">
        <f t="shared" si="37"/>
        <v>C3500</v>
      </c>
      <c r="V87">
        <v>85</v>
      </c>
      <c r="W87">
        <f t="shared" si="28"/>
        <v>850</v>
      </c>
      <c r="X87">
        <f t="shared" si="30"/>
        <v>850</v>
      </c>
      <c r="Y87">
        <f t="shared" si="29"/>
        <v>60</v>
      </c>
      <c r="Z87" s="4">
        <f t="shared" si="38"/>
        <v>2666666.6666666665</v>
      </c>
      <c r="AA87" s="3">
        <f t="shared" si="38"/>
        <v>60</v>
      </c>
      <c r="AB87" t="str">
        <f t="shared" si="31"/>
        <v>28B0AA</v>
      </c>
    </row>
    <row r="88" spans="14:28">
      <c r="N88">
        <v>86</v>
      </c>
      <c r="O88">
        <f t="shared" si="32"/>
        <v>860</v>
      </c>
      <c r="P88">
        <f t="shared" si="33"/>
        <v>860</v>
      </c>
      <c r="Q88">
        <f t="shared" si="34"/>
        <v>200</v>
      </c>
      <c r="R88" s="4">
        <f t="shared" si="35"/>
        <v>800000</v>
      </c>
      <c r="S88" s="3">
        <f t="shared" si="36"/>
        <v>200</v>
      </c>
      <c r="T88" t="str">
        <f t="shared" si="37"/>
        <v>C3500</v>
      </c>
      <c r="V88">
        <v>86</v>
      </c>
      <c r="W88">
        <f t="shared" si="28"/>
        <v>860</v>
      </c>
      <c r="X88">
        <f t="shared" si="30"/>
        <v>860</v>
      </c>
      <c r="Y88">
        <f t="shared" si="29"/>
        <v>60</v>
      </c>
      <c r="Z88" s="4">
        <f t="shared" si="38"/>
        <v>2666666.6666666665</v>
      </c>
      <c r="AA88" s="3">
        <f t="shared" si="38"/>
        <v>60</v>
      </c>
      <c r="AB88" t="str">
        <f t="shared" si="31"/>
        <v>28B0AA</v>
      </c>
    </row>
    <row r="89" spans="14:28">
      <c r="N89">
        <v>87</v>
      </c>
      <c r="O89">
        <f t="shared" si="32"/>
        <v>870</v>
      </c>
      <c r="P89">
        <f t="shared" si="33"/>
        <v>870</v>
      </c>
      <c r="Q89">
        <f t="shared" si="34"/>
        <v>200</v>
      </c>
      <c r="R89" s="4">
        <f t="shared" si="35"/>
        <v>800000</v>
      </c>
      <c r="S89" s="3">
        <f t="shared" si="36"/>
        <v>200</v>
      </c>
      <c r="T89" t="str">
        <f t="shared" si="37"/>
        <v>C3500</v>
      </c>
      <c r="V89">
        <v>87</v>
      </c>
      <c r="W89">
        <f t="shared" si="28"/>
        <v>870</v>
      </c>
      <c r="X89">
        <f t="shared" si="30"/>
        <v>870</v>
      </c>
      <c r="Y89">
        <f t="shared" si="29"/>
        <v>60</v>
      </c>
      <c r="Z89" s="4">
        <f t="shared" si="38"/>
        <v>2666666.6666666665</v>
      </c>
      <c r="AA89" s="3">
        <f t="shared" si="38"/>
        <v>60</v>
      </c>
      <c r="AB89" t="str">
        <f t="shared" si="31"/>
        <v>28B0AA</v>
      </c>
    </row>
    <row r="90" spans="14:28">
      <c r="N90">
        <v>88</v>
      </c>
      <c r="O90">
        <f t="shared" si="32"/>
        <v>880</v>
      </c>
      <c r="P90">
        <f t="shared" si="33"/>
        <v>880</v>
      </c>
      <c r="Q90">
        <f t="shared" si="34"/>
        <v>200</v>
      </c>
      <c r="R90" s="4">
        <f t="shared" si="35"/>
        <v>800000</v>
      </c>
      <c r="S90" s="3">
        <f t="shared" si="36"/>
        <v>200</v>
      </c>
      <c r="T90" t="str">
        <f t="shared" si="37"/>
        <v>C3500</v>
      </c>
      <c r="V90">
        <v>88</v>
      </c>
      <c r="W90">
        <f t="shared" si="28"/>
        <v>880</v>
      </c>
      <c r="X90">
        <f t="shared" si="30"/>
        <v>880</v>
      </c>
      <c r="Y90">
        <f t="shared" si="29"/>
        <v>60</v>
      </c>
      <c r="Z90" s="4">
        <f t="shared" si="38"/>
        <v>2666666.6666666665</v>
      </c>
      <c r="AA90" s="3">
        <f t="shared" si="38"/>
        <v>60</v>
      </c>
      <c r="AB90" t="str">
        <f t="shared" si="31"/>
        <v>28B0AA</v>
      </c>
    </row>
    <row r="91" spans="14:28">
      <c r="N91">
        <v>89</v>
      </c>
      <c r="O91">
        <f t="shared" si="32"/>
        <v>890</v>
      </c>
      <c r="P91">
        <f t="shared" si="33"/>
        <v>890</v>
      </c>
      <c r="Q91">
        <f t="shared" si="34"/>
        <v>200</v>
      </c>
      <c r="R91" s="4">
        <f t="shared" si="35"/>
        <v>800000</v>
      </c>
      <c r="S91" s="3">
        <f t="shared" si="36"/>
        <v>200</v>
      </c>
      <c r="T91" t="str">
        <f t="shared" si="37"/>
        <v>C3500</v>
      </c>
      <c r="V91">
        <v>89</v>
      </c>
      <c r="W91">
        <f t="shared" si="28"/>
        <v>890</v>
      </c>
      <c r="X91">
        <f t="shared" si="30"/>
        <v>890</v>
      </c>
      <c r="Y91">
        <f t="shared" si="29"/>
        <v>60</v>
      </c>
      <c r="Z91" s="4">
        <f t="shared" si="38"/>
        <v>2666666.6666666665</v>
      </c>
      <c r="AA91" s="3">
        <f t="shared" si="38"/>
        <v>60</v>
      </c>
      <c r="AB91" t="str">
        <f t="shared" si="31"/>
        <v>28B0AA</v>
      </c>
    </row>
    <row r="92" spans="14:28">
      <c r="N92">
        <v>90</v>
      </c>
      <c r="O92">
        <f t="shared" si="32"/>
        <v>900</v>
      </c>
      <c r="P92">
        <f t="shared" si="33"/>
        <v>900</v>
      </c>
      <c r="Q92">
        <f t="shared" si="34"/>
        <v>200</v>
      </c>
      <c r="R92" s="4">
        <f t="shared" si="35"/>
        <v>800000</v>
      </c>
      <c r="S92" s="3">
        <f t="shared" si="36"/>
        <v>200</v>
      </c>
      <c r="T92" t="str">
        <f t="shared" si="37"/>
        <v>C3500</v>
      </c>
      <c r="V92">
        <v>90</v>
      </c>
      <c r="W92">
        <f t="shared" si="28"/>
        <v>900</v>
      </c>
      <c r="X92">
        <f t="shared" si="30"/>
        <v>900</v>
      </c>
      <c r="Y92">
        <f t="shared" si="29"/>
        <v>60</v>
      </c>
      <c r="Z92" s="4">
        <f t="shared" si="38"/>
        <v>2666666.6666666665</v>
      </c>
      <c r="AA92" s="3">
        <f t="shared" si="38"/>
        <v>60</v>
      </c>
      <c r="AB92" t="str">
        <f t="shared" si="31"/>
        <v>28B0AA</v>
      </c>
    </row>
    <row r="93" spans="14:28">
      <c r="N93">
        <v>91</v>
      </c>
      <c r="O93">
        <f t="shared" si="32"/>
        <v>910</v>
      </c>
      <c r="P93">
        <f t="shared" si="33"/>
        <v>910</v>
      </c>
      <c r="Q93">
        <f t="shared" si="34"/>
        <v>200</v>
      </c>
      <c r="R93" s="4">
        <f t="shared" si="35"/>
        <v>800000</v>
      </c>
      <c r="S93" s="3">
        <f t="shared" si="36"/>
        <v>200</v>
      </c>
      <c r="T93" t="str">
        <f t="shared" si="37"/>
        <v>C3500</v>
      </c>
      <c r="V93">
        <v>91</v>
      </c>
      <c r="W93">
        <f t="shared" si="28"/>
        <v>910</v>
      </c>
      <c r="X93">
        <f t="shared" si="30"/>
        <v>910</v>
      </c>
      <c r="Y93">
        <f t="shared" si="29"/>
        <v>60</v>
      </c>
      <c r="Z93" s="4">
        <f t="shared" si="38"/>
        <v>2666666.6666666665</v>
      </c>
      <c r="AA93" s="3">
        <f t="shared" si="38"/>
        <v>60</v>
      </c>
      <c r="AB93" t="str">
        <f t="shared" si="31"/>
        <v>28B0AA</v>
      </c>
    </row>
    <row r="94" spans="14:28">
      <c r="N94">
        <v>92</v>
      </c>
      <c r="O94">
        <f t="shared" si="32"/>
        <v>920</v>
      </c>
      <c r="P94">
        <f t="shared" si="33"/>
        <v>920</v>
      </c>
      <c r="Q94">
        <f t="shared" si="34"/>
        <v>200</v>
      </c>
      <c r="R94" s="4">
        <f t="shared" si="35"/>
        <v>800000</v>
      </c>
      <c r="S94" s="3">
        <f t="shared" si="36"/>
        <v>200</v>
      </c>
      <c r="T94" t="str">
        <f t="shared" si="37"/>
        <v>C3500</v>
      </c>
      <c r="V94">
        <v>92</v>
      </c>
      <c r="W94">
        <f t="shared" si="28"/>
        <v>920</v>
      </c>
      <c r="X94">
        <f t="shared" si="30"/>
        <v>920</v>
      </c>
      <c r="Y94">
        <f t="shared" si="29"/>
        <v>60</v>
      </c>
      <c r="Z94" s="4">
        <f t="shared" si="38"/>
        <v>2666666.6666666665</v>
      </c>
      <c r="AA94" s="3">
        <f t="shared" si="38"/>
        <v>60</v>
      </c>
      <c r="AB94" t="str">
        <f t="shared" si="31"/>
        <v>28B0AA</v>
      </c>
    </row>
    <row r="95" spans="14:28">
      <c r="N95">
        <v>93</v>
      </c>
      <c r="O95">
        <f t="shared" si="32"/>
        <v>930</v>
      </c>
      <c r="P95">
        <f t="shared" si="33"/>
        <v>930</v>
      </c>
      <c r="Q95">
        <f t="shared" si="34"/>
        <v>200</v>
      </c>
      <c r="R95" s="4">
        <f t="shared" si="35"/>
        <v>800000</v>
      </c>
      <c r="S95" s="3">
        <f t="shared" si="36"/>
        <v>200</v>
      </c>
      <c r="T95" t="str">
        <f t="shared" si="37"/>
        <v>C3500</v>
      </c>
      <c r="V95">
        <v>93</v>
      </c>
      <c r="W95">
        <f t="shared" si="28"/>
        <v>930</v>
      </c>
      <c r="X95">
        <f t="shared" si="30"/>
        <v>930</v>
      </c>
      <c r="Y95">
        <f t="shared" si="29"/>
        <v>60</v>
      </c>
      <c r="Z95" s="4">
        <f t="shared" si="38"/>
        <v>2666666.6666666665</v>
      </c>
      <c r="AA95" s="3">
        <f t="shared" si="38"/>
        <v>60</v>
      </c>
      <c r="AB95" t="str">
        <f t="shared" si="31"/>
        <v>28B0AA</v>
      </c>
    </row>
    <row r="96" spans="14:28">
      <c r="N96">
        <v>94</v>
      </c>
      <c r="O96">
        <f t="shared" si="32"/>
        <v>940</v>
      </c>
      <c r="P96">
        <f t="shared" si="33"/>
        <v>940</v>
      </c>
      <c r="Q96">
        <f t="shared" si="34"/>
        <v>200</v>
      </c>
      <c r="R96" s="4">
        <f t="shared" si="35"/>
        <v>800000</v>
      </c>
      <c r="S96" s="3">
        <f t="shared" si="36"/>
        <v>200</v>
      </c>
      <c r="T96" t="str">
        <f t="shared" si="37"/>
        <v>C3500</v>
      </c>
      <c r="V96">
        <v>94</v>
      </c>
      <c r="W96">
        <f t="shared" si="28"/>
        <v>940</v>
      </c>
      <c r="X96">
        <f t="shared" si="30"/>
        <v>940</v>
      </c>
      <c r="Y96">
        <f t="shared" si="29"/>
        <v>60</v>
      </c>
      <c r="Z96" s="4">
        <f t="shared" si="38"/>
        <v>2666666.6666666665</v>
      </c>
      <c r="AA96" s="3">
        <f t="shared" si="38"/>
        <v>60</v>
      </c>
      <c r="AB96" t="str">
        <f t="shared" si="31"/>
        <v>28B0AA</v>
      </c>
    </row>
    <row r="97" spans="14:28">
      <c r="N97">
        <v>95</v>
      </c>
      <c r="O97">
        <f t="shared" si="32"/>
        <v>950</v>
      </c>
      <c r="P97">
        <f t="shared" si="33"/>
        <v>950</v>
      </c>
      <c r="Q97">
        <f t="shared" si="34"/>
        <v>200</v>
      </c>
      <c r="R97" s="4">
        <f t="shared" si="35"/>
        <v>800000</v>
      </c>
      <c r="S97" s="3">
        <f t="shared" si="36"/>
        <v>200</v>
      </c>
      <c r="T97" t="str">
        <f t="shared" si="37"/>
        <v>C3500</v>
      </c>
      <c r="V97">
        <v>95</v>
      </c>
      <c r="W97">
        <f t="shared" si="28"/>
        <v>950</v>
      </c>
      <c r="X97">
        <f t="shared" si="30"/>
        <v>950</v>
      </c>
      <c r="Y97">
        <f t="shared" si="29"/>
        <v>60</v>
      </c>
      <c r="Z97" s="4">
        <f t="shared" si="38"/>
        <v>2666666.6666666665</v>
      </c>
      <c r="AA97" s="3">
        <f t="shared" si="38"/>
        <v>60</v>
      </c>
      <c r="AB97" t="str">
        <f t="shared" si="31"/>
        <v>28B0AA</v>
      </c>
    </row>
    <row r="98" spans="14:28">
      <c r="N98">
        <v>96</v>
      </c>
      <c r="O98">
        <f t="shared" si="32"/>
        <v>960</v>
      </c>
      <c r="P98">
        <f t="shared" si="33"/>
        <v>960</v>
      </c>
      <c r="Q98">
        <f t="shared" si="34"/>
        <v>200</v>
      </c>
      <c r="R98" s="4">
        <f t="shared" si="35"/>
        <v>800000</v>
      </c>
      <c r="S98" s="3">
        <f t="shared" si="36"/>
        <v>200</v>
      </c>
      <c r="T98" t="str">
        <f t="shared" si="37"/>
        <v>C3500</v>
      </c>
      <c r="V98">
        <v>96</v>
      </c>
      <c r="W98">
        <f t="shared" si="28"/>
        <v>960</v>
      </c>
      <c r="X98">
        <f t="shared" si="30"/>
        <v>960</v>
      </c>
      <c r="Y98">
        <f t="shared" si="29"/>
        <v>60</v>
      </c>
      <c r="Z98" s="4">
        <f t="shared" si="38"/>
        <v>2666666.6666666665</v>
      </c>
      <c r="AA98" s="3">
        <f t="shared" si="38"/>
        <v>60</v>
      </c>
      <c r="AB98" t="str">
        <f t="shared" si="31"/>
        <v>28B0AA</v>
      </c>
    </row>
    <row r="99" spans="14:28">
      <c r="N99">
        <v>97</v>
      </c>
      <c r="O99">
        <f t="shared" si="32"/>
        <v>970</v>
      </c>
      <c r="P99">
        <f t="shared" si="33"/>
        <v>970</v>
      </c>
      <c r="Q99">
        <f t="shared" si="34"/>
        <v>200</v>
      </c>
      <c r="R99" s="4">
        <f t="shared" si="35"/>
        <v>800000</v>
      </c>
      <c r="S99" s="3">
        <f t="shared" si="36"/>
        <v>200</v>
      </c>
      <c r="T99" t="str">
        <f t="shared" si="37"/>
        <v>C3500</v>
      </c>
      <c r="V99">
        <v>97</v>
      </c>
      <c r="W99">
        <f t="shared" si="28"/>
        <v>970</v>
      </c>
      <c r="X99">
        <f t="shared" si="30"/>
        <v>970</v>
      </c>
      <c r="Y99">
        <f t="shared" si="29"/>
        <v>60</v>
      </c>
      <c r="Z99" s="4">
        <f t="shared" ref="Z99:AA118" si="39">IFERROR(160*1000*1000/Y99,0)</f>
        <v>2666666.6666666665</v>
      </c>
      <c r="AA99" s="3">
        <f t="shared" si="39"/>
        <v>60</v>
      </c>
      <c r="AB99" t="str">
        <f t="shared" si="31"/>
        <v>28B0AA</v>
      </c>
    </row>
    <row r="100" spans="14:28">
      <c r="N100">
        <v>98</v>
      </c>
      <c r="O100">
        <f t="shared" si="32"/>
        <v>980</v>
      </c>
      <c r="P100">
        <f t="shared" si="33"/>
        <v>980</v>
      </c>
      <c r="Q100">
        <f t="shared" si="34"/>
        <v>200</v>
      </c>
      <c r="R100" s="4">
        <f t="shared" si="35"/>
        <v>800000</v>
      </c>
      <c r="S100" s="3">
        <f t="shared" si="36"/>
        <v>200</v>
      </c>
      <c r="T100" t="str">
        <f t="shared" si="37"/>
        <v>C3500</v>
      </c>
      <c r="V100">
        <v>98</v>
      </c>
      <c r="W100">
        <f t="shared" si="28"/>
        <v>980</v>
      </c>
      <c r="X100">
        <f t="shared" si="30"/>
        <v>980</v>
      </c>
      <c r="Y100">
        <f t="shared" si="29"/>
        <v>60</v>
      </c>
      <c r="Z100" s="4">
        <f t="shared" si="39"/>
        <v>2666666.6666666665</v>
      </c>
      <c r="AA100" s="3">
        <f t="shared" si="39"/>
        <v>60</v>
      </c>
      <c r="AB100" t="str">
        <f t="shared" si="31"/>
        <v>28B0AA</v>
      </c>
    </row>
    <row r="101" spans="14:28">
      <c r="N101">
        <v>99</v>
      </c>
      <c r="O101">
        <f t="shared" si="32"/>
        <v>990</v>
      </c>
      <c r="P101">
        <f t="shared" si="33"/>
        <v>990</v>
      </c>
      <c r="Q101">
        <f t="shared" si="34"/>
        <v>200</v>
      </c>
      <c r="R101" s="4">
        <f t="shared" si="35"/>
        <v>800000</v>
      </c>
      <c r="S101" s="3">
        <f t="shared" si="36"/>
        <v>200</v>
      </c>
      <c r="T101" t="str">
        <f t="shared" si="37"/>
        <v>C3500</v>
      </c>
      <c r="V101">
        <v>99</v>
      </c>
      <c r="W101">
        <f t="shared" si="28"/>
        <v>990</v>
      </c>
      <c r="X101">
        <f t="shared" si="30"/>
        <v>990</v>
      </c>
      <c r="Y101">
        <f t="shared" si="29"/>
        <v>60</v>
      </c>
      <c r="Z101" s="4">
        <f t="shared" si="39"/>
        <v>2666666.6666666665</v>
      </c>
      <c r="AA101" s="3">
        <f t="shared" si="39"/>
        <v>60</v>
      </c>
      <c r="AB101" t="str">
        <f t="shared" si="31"/>
        <v>28B0AA</v>
      </c>
    </row>
    <row r="102" spans="14:28">
      <c r="N102">
        <v>100</v>
      </c>
      <c r="O102">
        <f t="shared" si="32"/>
        <v>1000</v>
      </c>
      <c r="P102">
        <f t="shared" si="33"/>
        <v>1000</v>
      </c>
      <c r="Q102">
        <f t="shared" si="34"/>
        <v>200</v>
      </c>
      <c r="R102" s="4">
        <f t="shared" si="35"/>
        <v>800000</v>
      </c>
      <c r="S102" s="3">
        <f t="shared" si="36"/>
        <v>200</v>
      </c>
      <c r="T102" t="str">
        <f t="shared" si="37"/>
        <v>C3500</v>
      </c>
      <c r="V102">
        <v>100</v>
      </c>
      <c r="W102">
        <f t="shared" si="28"/>
        <v>1000</v>
      </c>
      <c r="X102">
        <f t="shared" si="30"/>
        <v>1000</v>
      </c>
      <c r="Y102">
        <f t="shared" si="29"/>
        <v>60</v>
      </c>
      <c r="Z102" s="4">
        <f t="shared" si="39"/>
        <v>2666666.6666666665</v>
      </c>
      <c r="AA102" s="3">
        <f t="shared" si="39"/>
        <v>60</v>
      </c>
      <c r="AB102" t="str">
        <f t="shared" si="31"/>
        <v>28B0AA</v>
      </c>
    </row>
    <row r="103" spans="14:28">
      <c r="N103">
        <v>101</v>
      </c>
      <c r="O103">
        <f t="shared" si="32"/>
        <v>1010</v>
      </c>
      <c r="P103">
        <f t="shared" si="33"/>
        <v>1010</v>
      </c>
      <c r="Q103">
        <f t="shared" si="34"/>
        <v>200</v>
      </c>
      <c r="R103" s="4">
        <f t="shared" si="35"/>
        <v>800000</v>
      </c>
      <c r="S103" s="3">
        <f t="shared" si="36"/>
        <v>200</v>
      </c>
      <c r="T103" t="str">
        <f t="shared" si="37"/>
        <v>C3500</v>
      </c>
      <c r="V103">
        <v>101</v>
      </c>
      <c r="W103">
        <f t="shared" si="28"/>
        <v>1010</v>
      </c>
      <c r="X103">
        <f t="shared" si="30"/>
        <v>1010</v>
      </c>
      <c r="Y103">
        <f t="shared" si="29"/>
        <v>60</v>
      </c>
      <c r="Z103" s="4">
        <f t="shared" si="39"/>
        <v>2666666.6666666665</v>
      </c>
      <c r="AA103" s="3">
        <f t="shared" si="39"/>
        <v>60</v>
      </c>
      <c r="AB103" t="str">
        <f t="shared" si="31"/>
        <v>28B0AA</v>
      </c>
    </row>
    <row r="104" spans="14:28">
      <c r="N104">
        <v>102</v>
      </c>
      <c r="O104">
        <f t="shared" si="32"/>
        <v>1020</v>
      </c>
      <c r="P104">
        <f t="shared" si="33"/>
        <v>1020</v>
      </c>
      <c r="Q104">
        <f t="shared" si="34"/>
        <v>200</v>
      </c>
      <c r="R104" s="4">
        <f t="shared" si="35"/>
        <v>800000</v>
      </c>
      <c r="S104" s="3">
        <f t="shared" si="36"/>
        <v>200</v>
      </c>
      <c r="T104" t="str">
        <f t="shared" si="37"/>
        <v>C3500</v>
      </c>
      <c r="V104">
        <v>102</v>
      </c>
      <c r="W104">
        <f t="shared" si="28"/>
        <v>1020</v>
      </c>
      <c r="X104">
        <f t="shared" si="30"/>
        <v>1020</v>
      </c>
      <c r="Y104">
        <f t="shared" si="29"/>
        <v>60</v>
      </c>
      <c r="Z104" s="4">
        <f t="shared" si="39"/>
        <v>2666666.6666666665</v>
      </c>
      <c r="AA104" s="3">
        <f t="shared" si="39"/>
        <v>60</v>
      </c>
      <c r="AB104" t="str">
        <f t="shared" si="31"/>
        <v>28B0AA</v>
      </c>
    </row>
    <row r="105" spans="14:28">
      <c r="N105">
        <v>103</v>
      </c>
      <c r="O105">
        <f t="shared" si="32"/>
        <v>1030</v>
      </c>
      <c r="P105">
        <f t="shared" si="33"/>
        <v>1030</v>
      </c>
      <c r="Q105">
        <f t="shared" si="34"/>
        <v>200</v>
      </c>
      <c r="R105" s="4">
        <f t="shared" si="35"/>
        <v>800000</v>
      </c>
      <c r="S105" s="3">
        <f t="shared" si="36"/>
        <v>200</v>
      </c>
      <c r="T105" t="str">
        <f t="shared" si="37"/>
        <v>C3500</v>
      </c>
      <c r="V105">
        <v>103</v>
      </c>
      <c r="W105">
        <f t="shared" si="28"/>
        <v>1030</v>
      </c>
      <c r="X105">
        <f t="shared" si="30"/>
        <v>1030</v>
      </c>
      <c r="Y105">
        <f t="shared" si="29"/>
        <v>60</v>
      </c>
      <c r="Z105" s="4">
        <f t="shared" si="39"/>
        <v>2666666.6666666665</v>
      </c>
      <c r="AA105" s="3">
        <f t="shared" si="39"/>
        <v>60</v>
      </c>
      <c r="AB105" t="str">
        <f t="shared" si="31"/>
        <v>28B0AA</v>
      </c>
    </row>
    <row r="106" spans="14:28">
      <c r="N106">
        <v>104</v>
      </c>
      <c r="O106">
        <f t="shared" si="32"/>
        <v>1040</v>
      </c>
      <c r="P106">
        <f t="shared" si="33"/>
        <v>1040</v>
      </c>
      <c r="Q106">
        <f t="shared" si="34"/>
        <v>200</v>
      </c>
      <c r="R106" s="4">
        <f t="shared" si="35"/>
        <v>800000</v>
      </c>
      <c r="S106" s="3">
        <f t="shared" si="36"/>
        <v>200</v>
      </c>
      <c r="T106" t="str">
        <f t="shared" si="37"/>
        <v>C3500</v>
      </c>
      <c r="V106">
        <v>104</v>
      </c>
      <c r="W106">
        <f t="shared" si="28"/>
        <v>1040</v>
      </c>
      <c r="X106">
        <f t="shared" si="30"/>
        <v>1040</v>
      </c>
      <c r="Y106">
        <f t="shared" si="29"/>
        <v>60</v>
      </c>
      <c r="Z106" s="4">
        <f t="shared" si="39"/>
        <v>2666666.6666666665</v>
      </c>
      <c r="AA106" s="3">
        <f t="shared" si="39"/>
        <v>60</v>
      </c>
      <c r="AB106" t="str">
        <f t="shared" si="31"/>
        <v>28B0AA</v>
      </c>
    </row>
    <row r="107" spans="14:28">
      <c r="N107">
        <v>105</v>
      </c>
      <c r="O107">
        <f t="shared" si="32"/>
        <v>1050</v>
      </c>
      <c r="P107">
        <f t="shared" si="33"/>
        <v>1050</v>
      </c>
      <c r="Q107">
        <f t="shared" si="34"/>
        <v>200</v>
      </c>
      <c r="R107" s="4">
        <f t="shared" si="35"/>
        <v>800000</v>
      </c>
      <c r="S107" s="3">
        <f t="shared" si="36"/>
        <v>200</v>
      </c>
      <c r="T107" t="str">
        <f t="shared" si="37"/>
        <v>C3500</v>
      </c>
      <c r="V107">
        <v>105</v>
      </c>
      <c r="W107">
        <f t="shared" si="28"/>
        <v>1050</v>
      </c>
      <c r="X107">
        <f t="shared" si="30"/>
        <v>1050</v>
      </c>
      <c r="Y107">
        <f t="shared" si="29"/>
        <v>60</v>
      </c>
      <c r="Z107" s="4">
        <f t="shared" si="39"/>
        <v>2666666.6666666665</v>
      </c>
      <c r="AA107" s="3">
        <f t="shared" si="39"/>
        <v>60</v>
      </c>
      <c r="AB107" t="str">
        <f t="shared" si="31"/>
        <v>28B0AA</v>
      </c>
    </row>
    <row r="108" spans="14:28">
      <c r="N108">
        <v>106</v>
      </c>
      <c r="O108">
        <f t="shared" si="32"/>
        <v>1060</v>
      </c>
      <c r="P108">
        <f t="shared" si="33"/>
        <v>1060</v>
      </c>
      <c r="Q108">
        <f t="shared" si="34"/>
        <v>200</v>
      </c>
      <c r="R108" s="4">
        <f t="shared" si="35"/>
        <v>800000</v>
      </c>
      <c r="S108" s="3">
        <f t="shared" si="36"/>
        <v>200</v>
      </c>
      <c r="T108" t="str">
        <f t="shared" si="37"/>
        <v>C3500</v>
      </c>
      <c r="V108">
        <v>106</v>
      </c>
      <c r="W108">
        <f t="shared" si="28"/>
        <v>1060</v>
      </c>
      <c r="X108">
        <f t="shared" si="30"/>
        <v>1060</v>
      </c>
      <c r="Y108">
        <f t="shared" si="29"/>
        <v>60</v>
      </c>
      <c r="Z108" s="4">
        <f t="shared" si="39"/>
        <v>2666666.6666666665</v>
      </c>
      <c r="AA108" s="3">
        <f t="shared" si="39"/>
        <v>60</v>
      </c>
      <c r="AB108" t="str">
        <f t="shared" si="31"/>
        <v>28B0AA</v>
      </c>
    </row>
    <row r="109" spans="14:28">
      <c r="N109">
        <v>107</v>
      </c>
      <c r="O109">
        <f t="shared" si="32"/>
        <v>1070</v>
      </c>
      <c r="P109">
        <f t="shared" si="33"/>
        <v>1070</v>
      </c>
      <c r="Q109">
        <f t="shared" si="34"/>
        <v>200</v>
      </c>
      <c r="R109" s="4">
        <f t="shared" si="35"/>
        <v>800000</v>
      </c>
      <c r="S109" s="3">
        <f t="shared" si="36"/>
        <v>200</v>
      </c>
      <c r="T109" t="str">
        <f t="shared" si="37"/>
        <v>C3500</v>
      </c>
      <c r="V109">
        <v>107</v>
      </c>
      <c r="W109">
        <f t="shared" si="28"/>
        <v>1070</v>
      </c>
      <c r="X109">
        <f t="shared" si="30"/>
        <v>1070</v>
      </c>
      <c r="Y109">
        <f t="shared" si="29"/>
        <v>60</v>
      </c>
      <c r="Z109" s="4">
        <f t="shared" si="39"/>
        <v>2666666.6666666665</v>
      </c>
      <c r="AA109" s="3">
        <f t="shared" si="39"/>
        <v>60</v>
      </c>
      <c r="AB109" t="str">
        <f t="shared" si="31"/>
        <v>28B0AA</v>
      </c>
    </row>
    <row r="110" spans="14:28">
      <c r="N110">
        <v>108</v>
      </c>
      <c r="O110">
        <f t="shared" si="32"/>
        <v>1080</v>
      </c>
      <c r="P110">
        <f t="shared" si="33"/>
        <v>1080</v>
      </c>
      <c r="Q110">
        <f t="shared" si="34"/>
        <v>200</v>
      </c>
      <c r="R110" s="4">
        <f t="shared" si="35"/>
        <v>800000</v>
      </c>
      <c r="S110" s="3">
        <f t="shared" si="36"/>
        <v>200</v>
      </c>
      <c r="T110" t="str">
        <f t="shared" si="37"/>
        <v>C3500</v>
      </c>
      <c r="V110">
        <v>108</v>
      </c>
      <c r="W110">
        <f t="shared" si="28"/>
        <v>1080</v>
      </c>
      <c r="X110">
        <f t="shared" si="30"/>
        <v>1080</v>
      </c>
      <c r="Y110">
        <f t="shared" si="29"/>
        <v>60</v>
      </c>
      <c r="Z110" s="4">
        <f t="shared" si="39"/>
        <v>2666666.6666666665</v>
      </c>
      <c r="AA110" s="3">
        <f t="shared" si="39"/>
        <v>60</v>
      </c>
      <c r="AB110" t="str">
        <f t="shared" si="31"/>
        <v>28B0AA</v>
      </c>
    </row>
    <row r="111" spans="14:28">
      <c r="N111">
        <v>109</v>
      </c>
      <c r="O111">
        <f t="shared" si="32"/>
        <v>1090</v>
      </c>
      <c r="P111">
        <f t="shared" si="33"/>
        <v>1090</v>
      </c>
      <c r="Q111">
        <f t="shared" si="34"/>
        <v>200</v>
      </c>
      <c r="R111" s="4">
        <f t="shared" si="35"/>
        <v>800000</v>
      </c>
      <c r="S111" s="3">
        <f t="shared" si="36"/>
        <v>200</v>
      </c>
      <c r="T111" t="str">
        <f t="shared" si="37"/>
        <v>C3500</v>
      </c>
      <c r="V111">
        <v>109</v>
      </c>
      <c r="W111">
        <f t="shared" si="28"/>
        <v>1090</v>
      </c>
      <c r="X111">
        <f t="shared" si="30"/>
        <v>1090</v>
      </c>
      <c r="Y111">
        <f t="shared" si="29"/>
        <v>60</v>
      </c>
      <c r="Z111" s="4">
        <f t="shared" si="39"/>
        <v>2666666.6666666665</v>
      </c>
      <c r="AA111" s="3">
        <f t="shared" si="39"/>
        <v>60</v>
      </c>
      <c r="AB111" t="str">
        <f t="shared" si="31"/>
        <v>28B0AA</v>
      </c>
    </row>
    <row r="112" spans="14:28">
      <c r="N112">
        <v>110</v>
      </c>
      <c r="O112">
        <f t="shared" si="32"/>
        <v>1100</v>
      </c>
      <c r="P112">
        <f t="shared" si="33"/>
        <v>1100</v>
      </c>
      <c r="Q112">
        <f t="shared" si="34"/>
        <v>200</v>
      </c>
      <c r="R112" s="4">
        <f t="shared" si="35"/>
        <v>800000</v>
      </c>
      <c r="S112" s="3">
        <f t="shared" si="36"/>
        <v>200</v>
      </c>
      <c r="T112" t="str">
        <f t="shared" si="37"/>
        <v>C3500</v>
      </c>
      <c r="V112">
        <v>110</v>
      </c>
      <c r="W112">
        <f t="shared" si="28"/>
        <v>1100</v>
      </c>
      <c r="X112">
        <f t="shared" si="30"/>
        <v>1100</v>
      </c>
      <c r="Y112">
        <f t="shared" si="29"/>
        <v>60</v>
      </c>
      <c r="Z112" s="4">
        <f t="shared" si="39"/>
        <v>2666666.6666666665</v>
      </c>
      <c r="AA112" s="3">
        <f t="shared" si="39"/>
        <v>60</v>
      </c>
      <c r="AB112" t="str">
        <f t="shared" si="31"/>
        <v>28B0AA</v>
      </c>
    </row>
    <row r="113" spans="14:28">
      <c r="N113">
        <v>111</v>
      </c>
      <c r="O113">
        <f t="shared" si="32"/>
        <v>1110</v>
      </c>
      <c r="P113">
        <f t="shared" si="33"/>
        <v>1110</v>
      </c>
      <c r="Q113">
        <f t="shared" si="34"/>
        <v>200</v>
      </c>
      <c r="R113" s="4">
        <f t="shared" si="35"/>
        <v>800000</v>
      </c>
      <c r="S113" s="3">
        <f t="shared" si="36"/>
        <v>200</v>
      </c>
      <c r="T113" t="str">
        <f t="shared" si="37"/>
        <v>C3500</v>
      </c>
      <c r="V113">
        <v>111</v>
      </c>
      <c r="W113">
        <f t="shared" si="28"/>
        <v>1110</v>
      </c>
      <c r="X113">
        <f t="shared" si="30"/>
        <v>1110</v>
      </c>
      <c r="Y113">
        <f t="shared" si="29"/>
        <v>60</v>
      </c>
      <c r="Z113" s="4">
        <f t="shared" si="39"/>
        <v>2666666.6666666665</v>
      </c>
      <c r="AA113" s="3">
        <f t="shared" si="39"/>
        <v>60</v>
      </c>
      <c r="AB113" t="str">
        <f t="shared" si="31"/>
        <v>28B0AA</v>
      </c>
    </row>
    <row r="114" spans="14:28">
      <c r="N114">
        <v>112</v>
      </c>
      <c r="O114">
        <f t="shared" si="32"/>
        <v>1120</v>
      </c>
      <c r="P114">
        <f t="shared" si="33"/>
        <v>1120</v>
      </c>
      <c r="Q114">
        <f t="shared" si="34"/>
        <v>200</v>
      </c>
      <c r="R114" s="4">
        <f t="shared" si="35"/>
        <v>800000</v>
      </c>
      <c r="S114" s="3">
        <f t="shared" si="36"/>
        <v>200</v>
      </c>
      <c r="T114" t="str">
        <f t="shared" si="37"/>
        <v>C3500</v>
      </c>
      <c r="V114">
        <v>112</v>
      </c>
      <c r="W114">
        <f t="shared" si="28"/>
        <v>1120</v>
      </c>
      <c r="X114">
        <f t="shared" si="30"/>
        <v>1120</v>
      </c>
      <c r="Y114">
        <f t="shared" si="29"/>
        <v>60</v>
      </c>
      <c r="Z114" s="4">
        <f t="shared" si="39"/>
        <v>2666666.6666666665</v>
      </c>
      <c r="AA114" s="3">
        <f t="shared" si="39"/>
        <v>60</v>
      </c>
      <c r="AB114" t="str">
        <f t="shared" si="31"/>
        <v>28B0AA</v>
      </c>
    </row>
    <row r="115" spans="14:28">
      <c r="N115">
        <v>113</v>
      </c>
      <c r="O115">
        <f t="shared" si="32"/>
        <v>1130</v>
      </c>
      <c r="P115">
        <f t="shared" si="33"/>
        <v>1130</v>
      </c>
      <c r="Q115">
        <f t="shared" si="34"/>
        <v>200</v>
      </c>
      <c r="R115" s="4">
        <f t="shared" si="35"/>
        <v>800000</v>
      </c>
      <c r="S115" s="3">
        <f t="shared" si="36"/>
        <v>200</v>
      </c>
      <c r="T115" t="str">
        <f t="shared" si="37"/>
        <v>C3500</v>
      </c>
      <c r="V115">
        <v>113</v>
      </c>
      <c r="W115">
        <f t="shared" si="28"/>
        <v>1130</v>
      </c>
      <c r="X115">
        <f t="shared" si="30"/>
        <v>1130</v>
      </c>
      <c r="Y115">
        <f t="shared" si="29"/>
        <v>60</v>
      </c>
      <c r="Z115" s="4">
        <f t="shared" si="39"/>
        <v>2666666.6666666665</v>
      </c>
      <c r="AA115" s="3">
        <f t="shared" si="39"/>
        <v>60</v>
      </c>
      <c r="AB115" t="str">
        <f t="shared" si="31"/>
        <v>28B0AA</v>
      </c>
    </row>
    <row r="116" spans="14:28">
      <c r="N116">
        <v>114</v>
      </c>
      <c r="O116">
        <f t="shared" si="32"/>
        <v>1140</v>
      </c>
      <c r="P116">
        <f t="shared" si="33"/>
        <v>1140</v>
      </c>
      <c r="Q116">
        <f t="shared" si="34"/>
        <v>200</v>
      </c>
      <c r="R116" s="4">
        <f t="shared" si="35"/>
        <v>800000</v>
      </c>
      <c r="S116" s="3">
        <f t="shared" si="36"/>
        <v>200</v>
      </c>
      <c r="T116" t="str">
        <f t="shared" si="37"/>
        <v>C3500</v>
      </c>
      <c r="V116">
        <v>114</v>
      </c>
      <c r="W116">
        <f t="shared" si="28"/>
        <v>1140</v>
      </c>
      <c r="X116">
        <f t="shared" si="30"/>
        <v>1140</v>
      </c>
      <c r="Y116">
        <f t="shared" si="29"/>
        <v>60</v>
      </c>
      <c r="Z116" s="4">
        <f t="shared" si="39"/>
        <v>2666666.6666666665</v>
      </c>
      <c r="AA116" s="3">
        <f t="shared" si="39"/>
        <v>60</v>
      </c>
      <c r="AB116" t="str">
        <f t="shared" si="31"/>
        <v>28B0AA</v>
      </c>
    </row>
    <row r="117" spans="14:28">
      <c r="N117">
        <v>115</v>
      </c>
      <c r="O117">
        <f t="shared" si="32"/>
        <v>1150</v>
      </c>
      <c r="P117">
        <f t="shared" si="33"/>
        <v>1150</v>
      </c>
      <c r="Q117">
        <f t="shared" si="34"/>
        <v>200</v>
      </c>
      <c r="R117" s="4">
        <f t="shared" si="35"/>
        <v>800000</v>
      </c>
      <c r="S117" s="3">
        <f t="shared" si="36"/>
        <v>200</v>
      </c>
      <c r="T117" t="str">
        <f t="shared" si="37"/>
        <v>C3500</v>
      </c>
      <c r="V117">
        <v>115</v>
      </c>
      <c r="W117">
        <f t="shared" si="28"/>
        <v>1150</v>
      </c>
      <c r="X117">
        <f t="shared" si="30"/>
        <v>1150</v>
      </c>
      <c r="Y117">
        <f t="shared" si="29"/>
        <v>60</v>
      </c>
      <c r="Z117" s="4">
        <f t="shared" si="39"/>
        <v>2666666.6666666665</v>
      </c>
      <c r="AA117" s="3">
        <f t="shared" si="39"/>
        <v>60</v>
      </c>
      <c r="AB117" t="str">
        <f t="shared" si="31"/>
        <v>28B0AA</v>
      </c>
    </row>
    <row r="118" spans="14:28">
      <c r="N118">
        <v>116</v>
      </c>
      <c r="O118">
        <f t="shared" si="32"/>
        <v>1160</v>
      </c>
      <c r="P118">
        <f t="shared" si="33"/>
        <v>1160</v>
      </c>
      <c r="Q118">
        <f t="shared" si="34"/>
        <v>200</v>
      </c>
      <c r="R118" s="4">
        <f t="shared" si="35"/>
        <v>800000</v>
      </c>
      <c r="S118" s="3">
        <f t="shared" si="36"/>
        <v>200</v>
      </c>
      <c r="T118" t="str">
        <f t="shared" si="37"/>
        <v>C3500</v>
      </c>
      <c r="V118">
        <v>116</v>
      </c>
      <c r="W118">
        <f t="shared" si="28"/>
        <v>1160</v>
      </c>
      <c r="X118">
        <f t="shared" si="30"/>
        <v>1160</v>
      </c>
      <c r="Y118">
        <f t="shared" si="29"/>
        <v>60</v>
      </c>
      <c r="Z118" s="4">
        <f t="shared" si="39"/>
        <v>2666666.6666666665</v>
      </c>
      <c r="AA118" s="3">
        <f t="shared" si="39"/>
        <v>60</v>
      </c>
      <c r="AB118" t="str">
        <f t="shared" si="31"/>
        <v>28B0AA</v>
      </c>
    </row>
    <row r="119" spans="14:28">
      <c r="N119">
        <v>117</v>
      </c>
      <c r="O119">
        <f t="shared" si="32"/>
        <v>1170</v>
      </c>
      <c r="P119">
        <f t="shared" si="33"/>
        <v>1170</v>
      </c>
      <c r="Q119">
        <f t="shared" si="34"/>
        <v>200</v>
      </c>
      <c r="R119" s="4">
        <f t="shared" si="35"/>
        <v>800000</v>
      </c>
      <c r="S119" s="3">
        <f t="shared" si="36"/>
        <v>200</v>
      </c>
      <c r="T119" t="str">
        <f t="shared" si="37"/>
        <v>C3500</v>
      </c>
      <c r="V119">
        <v>117</v>
      </c>
      <c r="W119">
        <f t="shared" si="28"/>
        <v>1170</v>
      </c>
      <c r="X119">
        <f t="shared" si="30"/>
        <v>1170</v>
      </c>
      <c r="Y119">
        <f t="shared" si="29"/>
        <v>60</v>
      </c>
      <c r="Z119" s="4">
        <f t="shared" ref="Z119:AA138" si="40">IFERROR(160*1000*1000/Y119,0)</f>
        <v>2666666.6666666665</v>
      </c>
      <c r="AA119" s="3">
        <f t="shared" si="40"/>
        <v>60</v>
      </c>
      <c r="AB119" t="str">
        <f t="shared" si="31"/>
        <v>28B0AA</v>
      </c>
    </row>
    <row r="120" spans="14:28">
      <c r="N120">
        <v>118</v>
      </c>
      <c r="O120">
        <f t="shared" si="32"/>
        <v>1180</v>
      </c>
      <c r="P120">
        <f t="shared" si="33"/>
        <v>1180</v>
      </c>
      <c r="Q120">
        <f t="shared" si="34"/>
        <v>200</v>
      </c>
      <c r="R120" s="4">
        <f t="shared" si="35"/>
        <v>800000</v>
      </c>
      <c r="S120" s="3">
        <f t="shared" si="36"/>
        <v>200</v>
      </c>
      <c r="T120" t="str">
        <f t="shared" si="37"/>
        <v>C3500</v>
      </c>
      <c r="V120">
        <v>118</v>
      </c>
      <c r="W120">
        <f t="shared" si="28"/>
        <v>1180</v>
      </c>
      <c r="X120">
        <f t="shared" si="30"/>
        <v>1180</v>
      </c>
      <c r="Y120">
        <f t="shared" si="29"/>
        <v>60</v>
      </c>
      <c r="Z120" s="4">
        <f t="shared" si="40"/>
        <v>2666666.6666666665</v>
      </c>
      <c r="AA120" s="3">
        <f t="shared" si="40"/>
        <v>60</v>
      </c>
      <c r="AB120" t="str">
        <f t="shared" si="31"/>
        <v>28B0AA</v>
      </c>
    </row>
    <row r="121" spans="14:28">
      <c r="N121">
        <v>119</v>
      </c>
      <c r="O121">
        <f t="shared" si="32"/>
        <v>1190</v>
      </c>
      <c r="P121">
        <f t="shared" si="33"/>
        <v>1190</v>
      </c>
      <c r="Q121">
        <f t="shared" si="34"/>
        <v>200</v>
      </c>
      <c r="R121" s="4">
        <f t="shared" si="35"/>
        <v>800000</v>
      </c>
      <c r="S121" s="3">
        <f t="shared" si="36"/>
        <v>200</v>
      </c>
      <c r="T121" t="str">
        <f t="shared" si="37"/>
        <v>C3500</v>
      </c>
      <c r="V121">
        <v>119</v>
      </c>
      <c r="W121">
        <f t="shared" si="28"/>
        <v>1190</v>
      </c>
      <c r="X121">
        <f t="shared" si="30"/>
        <v>1190</v>
      </c>
      <c r="Y121">
        <f t="shared" si="29"/>
        <v>60</v>
      </c>
      <c r="Z121" s="4">
        <f t="shared" si="40"/>
        <v>2666666.6666666665</v>
      </c>
      <c r="AA121" s="3">
        <f t="shared" si="40"/>
        <v>60</v>
      </c>
      <c r="AB121" t="str">
        <f t="shared" si="31"/>
        <v>28B0AA</v>
      </c>
    </row>
    <row r="122" spans="14:28">
      <c r="N122">
        <v>120</v>
      </c>
      <c r="O122">
        <f t="shared" si="32"/>
        <v>1200</v>
      </c>
      <c r="P122">
        <f t="shared" si="33"/>
        <v>1200</v>
      </c>
      <c r="Q122">
        <f t="shared" si="34"/>
        <v>200</v>
      </c>
      <c r="R122" s="4">
        <f t="shared" si="35"/>
        <v>800000</v>
      </c>
      <c r="S122" s="3">
        <f t="shared" si="36"/>
        <v>200</v>
      </c>
      <c r="T122" t="str">
        <f t="shared" si="37"/>
        <v>C3500</v>
      </c>
      <c r="V122">
        <v>120</v>
      </c>
      <c r="W122">
        <f t="shared" si="28"/>
        <v>1200</v>
      </c>
      <c r="X122">
        <f t="shared" si="30"/>
        <v>1200</v>
      </c>
      <c r="Y122">
        <f t="shared" si="29"/>
        <v>60</v>
      </c>
      <c r="Z122" s="4">
        <f t="shared" si="40"/>
        <v>2666666.6666666665</v>
      </c>
      <c r="AA122" s="3">
        <f t="shared" si="40"/>
        <v>60</v>
      </c>
      <c r="AB122" t="str">
        <f t="shared" si="31"/>
        <v>28B0AA</v>
      </c>
    </row>
    <row r="123" spans="14:28">
      <c r="N123">
        <v>121</v>
      </c>
      <c r="O123">
        <f t="shared" si="32"/>
        <v>1210</v>
      </c>
      <c r="P123">
        <f t="shared" si="33"/>
        <v>1210</v>
      </c>
      <c r="Q123">
        <f t="shared" si="34"/>
        <v>200</v>
      </c>
      <c r="R123" s="4">
        <f t="shared" si="35"/>
        <v>800000</v>
      </c>
      <c r="S123" s="3">
        <f t="shared" si="36"/>
        <v>200</v>
      </c>
      <c r="T123" t="str">
        <f t="shared" si="37"/>
        <v>C3500</v>
      </c>
      <c r="V123">
        <v>121</v>
      </c>
      <c r="W123">
        <f t="shared" si="28"/>
        <v>1210</v>
      </c>
      <c r="X123">
        <f t="shared" si="30"/>
        <v>1210</v>
      </c>
      <c r="Y123">
        <f t="shared" si="29"/>
        <v>60</v>
      </c>
      <c r="Z123" s="4">
        <f t="shared" si="40"/>
        <v>2666666.6666666665</v>
      </c>
      <c r="AA123" s="3">
        <f t="shared" si="40"/>
        <v>60</v>
      </c>
      <c r="AB123" t="str">
        <f t="shared" si="31"/>
        <v>28B0AA</v>
      </c>
    </row>
    <row r="124" spans="14:28">
      <c r="N124">
        <v>122</v>
      </c>
      <c r="O124">
        <f t="shared" si="32"/>
        <v>1220</v>
      </c>
      <c r="P124">
        <f t="shared" si="33"/>
        <v>1220</v>
      </c>
      <c r="Q124">
        <f t="shared" si="34"/>
        <v>200</v>
      </c>
      <c r="R124" s="4">
        <f t="shared" si="35"/>
        <v>800000</v>
      </c>
      <c r="S124" s="3">
        <f t="shared" si="36"/>
        <v>200</v>
      </c>
      <c r="T124" t="str">
        <f t="shared" si="37"/>
        <v>C3500</v>
      </c>
      <c r="V124">
        <v>122</v>
      </c>
      <c r="W124">
        <f t="shared" si="28"/>
        <v>1220</v>
      </c>
      <c r="X124">
        <f t="shared" si="30"/>
        <v>1220</v>
      </c>
      <c r="Y124">
        <f t="shared" si="29"/>
        <v>60</v>
      </c>
      <c r="Z124" s="4">
        <f t="shared" si="40"/>
        <v>2666666.6666666665</v>
      </c>
      <c r="AA124" s="3">
        <f t="shared" si="40"/>
        <v>60</v>
      </c>
      <c r="AB124" t="str">
        <f t="shared" si="31"/>
        <v>28B0AA</v>
      </c>
    </row>
    <row r="125" spans="14:28">
      <c r="N125">
        <v>123</v>
      </c>
      <c r="O125">
        <f t="shared" si="32"/>
        <v>1230</v>
      </c>
      <c r="P125">
        <f t="shared" si="33"/>
        <v>1230</v>
      </c>
      <c r="Q125">
        <f t="shared" si="34"/>
        <v>200</v>
      </c>
      <c r="R125" s="4">
        <f t="shared" si="35"/>
        <v>800000</v>
      </c>
      <c r="S125" s="3">
        <f t="shared" si="36"/>
        <v>200</v>
      </c>
      <c r="T125" t="str">
        <f t="shared" si="37"/>
        <v>C3500</v>
      </c>
      <c r="V125">
        <v>123</v>
      </c>
      <c r="W125">
        <f t="shared" si="28"/>
        <v>1230</v>
      </c>
      <c r="X125">
        <f t="shared" si="30"/>
        <v>1230</v>
      </c>
      <c r="Y125">
        <f t="shared" si="29"/>
        <v>60</v>
      </c>
      <c r="Z125" s="4">
        <f t="shared" si="40"/>
        <v>2666666.6666666665</v>
      </c>
      <c r="AA125" s="3">
        <f t="shared" si="40"/>
        <v>60</v>
      </c>
      <c r="AB125" t="str">
        <f t="shared" si="31"/>
        <v>28B0AA</v>
      </c>
    </row>
    <row r="126" spans="14:28">
      <c r="N126">
        <v>124</v>
      </c>
      <c r="O126">
        <f t="shared" si="32"/>
        <v>1240</v>
      </c>
      <c r="P126">
        <f t="shared" si="33"/>
        <v>1240</v>
      </c>
      <c r="Q126">
        <f t="shared" si="34"/>
        <v>200</v>
      </c>
      <c r="R126" s="4">
        <f t="shared" si="35"/>
        <v>800000</v>
      </c>
      <c r="S126" s="3">
        <f t="shared" si="36"/>
        <v>200</v>
      </c>
      <c r="T126" t="str">
        <f t="shared" si="37"/>
        <v>C3500</v>
      </c>
      <c r="V126">
        <v>124</v>
      </c>
      <c r="W126">
        <f t="shared" si="28"/>
        <v>1240</v>
      </c>
      <c r="X126">
        <f t="shared" si="30"/>
        <v>1240</v>
      </c>
      <c r="Y126">
        <f t="shared" si="29"/>
        <v>60</v>
      </c>
      <c r="Z126" s="4">
        <f t="shared" si="40"/>
        <v>2666666.6666666665</v>
      </c>
      <c r="AA126" s="3">
        <f t="shared" si="40"/>
        <v>60</v>
      </c>
      <c r="AB126" t="str">
        <f t="shared" si="31"/>
        <v>28B0AA</v>
      </c>
    </row>
    <row r="127" spans="14:28">
      <c r="N127">
        <v>125</v>
      </c>
      <c r="O127">
        <f t="shared" si="32"/>
        <v>1250</v>
      </c>
      <c r="P127">
        <f t="shared" si="33"/>
        <v>1250</v>
      </c>
      <c r="Q127">
        <f t="shared" si="34"/>
        <v>200</v>
      </c>
      <c r="R127" s="4">
        <f t="shared" si="35"/>
        <v>800000</v>
      </c>
      <c r="S127" s="3">
        <f t="shared" si="36"/>
        <v>200</v>
      </c>
      <c r="T127" t="str">
        <f t="shared" si="37"/>
        <v>C3500</v>
      </c>
      <c r="V127">
        <v>125</v>
      </c>
      <c r="W127">
        <f t="shared" ref="W127:W190" si="41">MOD(X127,$A$14+$A$15)</f>
        <v>1250</v>
      </c>
      <c r="X127">
        <f t="shared" si="30"/>
        <v>1250</v>
      </c>
      <c r="Y127">
        <f t="shared" ref="Y127:Y190" si="42">IF(W127&gt;$A$14,0,IF(W127&lt;$A$13,W127/($A$13)*($A$11-$A$12)+$A$12,IF($A$14-W127&lt;$A$13,($A$14-W127)/($A$13)*($A$11-$A$12)+$A$12,$A$11)))</f>
        <v>60</v>
      </c>
      <c r="Z127" s="4">
        <f t="shared" si="40"/>
        <v>2666666.6666666665</v>
      </c>
      <c r="AA127" s="3">
        <f t="shared" si="40"/>
        <v>60</v>
      </c>
      <c r="AB127" t="str">
        <f t="shared" si="31"/>
        <v>28B0AA</v>
      </c>
    </row>
    <row r="128" spans="14:28">
      <c r="N128">
        <v>126</v>
      </c>
      <c r="O128">
        <f t="shared" si="32"/>
        <v>1260</v>
      </c>
      <c r="P128">
        <f t="shared" si="33"/>
        <v>1260</v>
      </c>
      <c r="Q128">
        <f t="shared" si="34"/>
        <v>192.2</v>
      </c>
      <c r="R128" s="4">
        <f t="shared" si="35"/>
        <v>832466.1810613944</v>
      </c>
      <c r="S128" s="3">
        <f t="shared" si="36"/>
        <v>192.2</v>
      </c>
      <c r="T128" t="str">
        <f t="shared" si="37"/>
        <v>CB3D2</v>
      </c>
      <c r="V128">
        <v>126</v>
      </c>
      <c r="W128">
        <f t="shared" si="41"/>
        <v>1260</v>
      </c>
      <c r="X128">
        <f t="shared" ref="X128:X191" si="43">V128*10</f>
        <v>1260</v>
      </c>
      <c r="Y128">
        <f t="shared" si="42"/>
        <v>60</v>
      </c>
      <c r="Z128" s="4">
        <f t="shared" si="40"/>
        <v>2666666.6666666665</v>
      </c>
      <c r="AA128" s="3">
        <f t="shared" si="40"/>
        <v>60</v>
      </c>
      <c r="AB128" t="str">
        <f t="shared" si="31"/>
        <v>28B0AA</v>
      </c>
    </row>
    <row r="129" spans="14:28">
      <c r="N129">
        <v>127</v>
      </c>
      <c r="O129">
        <f t="shared" si="32"/>
        <v>1270</v>
      </c>
      <c r="P129">
        <f t="shared" si="33"/>
        <v>1270</v>
      </c>
      <c r="Q129">
        <f t="shared" si="34"/>
        <v>184.4</v>
      </c>
      <c r="R129" s="4">
        <f t="shared" si="35"/>
        <v>867678.95878524939</v>
      </c>
      <c r="S129" s="3">
        <f t="shared" si="36"/>
        <v>184.4</v>
      </c>
      <c r="T129" t="str">
        <f t="shared" si="37"/>
        <v>D3D5E</v>
      </c>
      <c r="V129">
        <v>127</v>
      </c>
      <c r="W129">
        <f t="shared" si="41"/>
        <v>1270</v>
      </c>
      <c r="X129">
        <f t="shared" si="43"/>
        <v>1270</v>
      </c>
      <c r="Y129">
        <f t="shared" si="42"/>
        <v>60</v>
      </c>
      <c r="Z129" s="4">
        <f t="shared" si="40"/>
        <v>2666666.6666666665</v>
      </c>
      <c r="AA129" s="3">
        <f t="shared" si="40"/>
        <v>60</v>
      </c>
      <c r="AB129" t="str">
        <f t="shared" si="31"/>
        <v>28B0AA</v>
      </c>
    </row>
    <row r="130" spans="14:28">
      <c r="N130">
        <v>128</v>
      </c>
      <c r="O130">
        <f t="shared" si="32"/>
        <v>1280</v>
      </c>
      <c r="P130">
        <f t="shared" si="33"/>
        <v>1280</v>
      </c>
      <c r="Q130">
        <f t="shared" si="34"/>
        <v>176.6</v>
      </c>
      <c r="R130" s="4">
        <f t="shared" si="35"/>
        <v>906002.26500566257</v>
      </c>
      <c r="S130" s="3">
        <f t="shared" si="36"/>
        <v>176.6</v>
      </c>
      <c r="T130" t="str">
        <f t="shared" si="37"/>
        <v>DD312</v>
      </c>
      <c r="V130">
        <v>128</v>
      </c>
      <c r="W130">
        <f t="shared" si="41"/>
        <v>1280</v>
      </c>
      <c r="X130">
        <f t="shared" si="43"/>
        <v>1280</v>
      </c>
      <c r="Y130">
        <f t="shared" si="42"/>
        <v>60</v>
      </c>
      <c r="Z130" s="4">
        <f t="shared" si="40"/>
        <v>2666666.6666666665</v>
      </c>
      <c r="AA130" s="3">
        <f t="shared" si="40"/>
        <v>60</v>
      </c>
      <c r="AB130" t="str">
        <f t="shared" ref="AB130:AB193" si="44">DEC2HEX(Z130)</f>
        <v>28B0AA</v>
      </c>
    </row>
    <row r="131" spans="14:28">
      <c r="N131">
        <v>129</v>
      </c>
      <c r="O131">
        <f t="shared" ref="O131:O194" si="45">MOD(P131,$A$5+$A$6)</f>
        <v>1290</v>
      </c>
      <c r="P131">
        <f t="shared" si="33"/>
        <v>1290</v>
      </c>
      <c r="Q131">
        <f t="shared" si="34"/>
        <v>168.79999999999998</v>
      </c>
      <c r="R131" s="4">
        <f t="shared" si="35"/>
        <v>947867.29857819912</v>
      </c>
      <c r="S131" s="3">
        <f t="shared" si="36"/>
        <v>168.79999999999998</v>
      </c>
      <c r="T131" t="str">
        <f t="shared" si="37"/>
        <v>E769B</v>
      </c>
      <c r="V131">
        <v>129</v>
      </c>
      <c r="W131">
        <f t="shared" si="41"/>
        <v>1290</v>
      </c>
      <c r="X131">
        <f t="shared" si="43"/>
        <v>1290</v>
      </c>
      <c r="Y131">
        <f t="shared" si="42"/>
        <v>60</v>
      </c>
      <c r="Z131" s="4">
        <f t="shared" si="40"/>
        <v>2666666.6666666665</v>
      </c>
      <c r="AA131" s="3">
        <f t="shared" si="40"/>
        <v>60</v>
      </c>
      <c r="AB131" t="str">
        <f t="shared" si="44"/>
        <v>28B0AA</v>
      </c>
    </row>
    <row r="132" spans="14:28">
      <c r="N132">
        <v>130</v>
      </c>
      <c r="O132">
        <f t="shared" si="45"/>
        <v>1300</v>
      </c>
      <c r="P132">
        <f t="shared" si="33"/>
        <v>1300</v>
      </c>
      <c r="Q132">
        <f t="shared" si="34"/>
        <v>161</v>
      </c>
      <c r="R132" s="4">
        <f t="shared" si="35"/>
        <v>993788.81987577642</v>
      </c>
      <c r="S132" s="3">
        <f t="shared" si="36"/>
        <v>161</v>
      </c>
      <c r="T132" t="str">
        <f t="shared" si="37"/>
        <v>F29FC</v>
      </c>
      <c r="V132">
        <v>130</v>
      </c>
      <c r="W132">
        <f t="shared" si="41"/>
        <v>1300</v>
      </c>
      <c r="X132">
        <f t="shared" si="43"/>
        <v>1300</v>
      </c>
      <c r="Y132">
        <f t="shared" si="42"/>
        <v>60</v>
      </c>
      <c r="Z132" s="4">
        <f t="shared" si="40"/>
        <v>2666666.6666666665</v>
      </c>
      <c r="AA132" s="3">
        <f t="shared" si="40"/>
        <v>60</v>
      </c>
      <c r="AB132" t="str">
        <f t="shared" si="44"/>
        <v>28B0AA</v>
      </c>
    </row>
    <row r="133" spans="14:28">
      <c r="N133">
        <v>131</v>
      </c>
      <c r="O133">
        <f t="shared" si="45"/>
        <v>1310</v>
      </c>
      <c r="P133">
        <f t="shared" si="33"/>
        <v>1310</v>
      </c>
      <c r="Q133">
        <f t="shared" si="34"/>
        <v>153.19999999999999</v>
      </c>
      <c r="R133" s="4">
        <f t="shared" si="35"/>
        <v>1044386.4229765014</v>
      </c>
      <c r="S133" s="3">
        <f t="shared" si="36"/>
        <v>153.19999999999999</v>
      </c>
      <c r="T133" t="str">
        <f t="shared" si="37"/>
        <v>FEFA2</v>
      </c>
      <c r="V133">
        <v>131</v>
      </c>
      <c r="W133">
        <f t="shared" si="41"/>
        <v>1310</v>
      </c>
      <c r="X133">
        <f t="shared" si="43"/>
        <v>1310</v>
      </c>
      <c r="Y133">
        <f t="shared" si="42"/>
        <v>60</v>
      </c>
      <c r="Z133" s="4">
        <f t="shared" si="40"/>
        <v>2666666.6666666665</v>
      </c>
      <c r="AA133" s="3">
        <f t="shared" si="40"/>
        <v>60</v>
      </c>
      <c r="AB133" t="str">
        <f t="shared" si="44"/>
        <v>28B0AA</v>
      </c>
    </row>
    <row r="134" spans="14:28">
      <c r="N134">
        <v>132</v>
      </c>
      <c r="O134">
        <f t="shared" si="45"/>
        <v>1320</v>
      </c>
      <c r="P134">
        <f t="shared" si="33"/>
        <v>1320</v>
      </c>
      <c r="Q134">
        <f t="shared" si="34"/>
        <v>145.4</v>
      </c>
      <c r="R134" s="4">
        <f t="shared" si="35"/>
        <v>1100412.6547455296</v>
      </c>
      <c r="S134" s="3">
        <f t="shared" si="36"/>
        <v>145.39999999999998</v>
      </c>
      <c r="T134" t="str">
        <f t="shared" si="37"/>
        <v>10CA7C</v>
      </c>
      <c r="V134">
        <v>132</v>
      </c>
      <c r="W134">
        <f t="shared" si="41"/>
        <v>1320</v>
      </c>
      <c r="X134">
        <f t="shared" si="43"/>
        <v>1320</v>
      </c>
      <c r="Y134">
        <f t="shared" si="42"/>
        <v>60</v>
      </c>
      <c r="Z134" s="4">
        <f t="shared" si="40"/>
        <v>2666666.6666666665</v>
      </c>
      <c r="AA134" s="3">
        <f t="shared" si="40"/>
        <v>60</v>
      </c>
      <c r="AB134" t="str">
        <f t="shared" si="44"/>
        <v>28B0AA</v>
      </c>
    </row>
    <row r="135" spans="14:28">
      <c r="N135">
        <v>133</v>
      </c>
      <c r="O135">
        <f t="shared" si="45"/>
        <v>1330</v>
      </c>
      <c r="P135">
        <f t="shared" si="33"/>
        <v>1330</v>
      </c>
      <c r="Q135">
        <f t="shared" si="34"/>
        <v>137.60000000000002</v>
      </c>
      <c r="R135" s="4">
        <f t="shared" si="35"/>
        <v>1162790.6976744183</v>
      </c>
      <c r="S135" s="3">
        <f t="shared" si="36"/>
        <v>137.60000000000002</v>
      </c>
      <c r="T135" t="str">
        <f t="shared" si="37"/>
        <v>11BE26</v>
      </c>
      <c r="V135">
        <v>133</v>
      </c>
      <c r="W135">
        <f t="shared" si="41"/>
        <v>1330</v>
      </c>
      <c r="X135">
        <f t="shared" si="43"/>
        <v>1330</v>
      </c>
      <c r="Y135">
        <f t="shared" si="42"/>
        <v>60</v>
      </c>
      <c r="Z135" s="4">
        <f t="shared" si="40"/>
        <v>2666666.6666666665</v>
      </c>
      <c r="AA135" s="3">
        <f t="shared" si="40"/>
        <v>60</v>
      </c>
      <c r="AB135" t="str">
        <f t="shared" si="44"/>
        <v>28B0AA</v>
      </c>
    </row>
    <row r="136" spans="14:28">
      <c r="N136">
        <v>134</v>
      </c>
      <c r="O136">
        <f t="shared" si="45"/>
        <v>1340</v>
      </c>
      <c r="P136">
        <f t="shared" si="33"/>
        <v>1340</v>
      </c>
      <c r="Q136">
        <f t="shared" si="34"/>
        <v>129.80000000000001</v>
      </c>
      <c r="R136" s="4">
        <f t="shared" si="35"/>
        <v>1232665.6394453004</v>
      </c>
      <c r="S136" s="3">
        <f t="shared" si="36"/>
        <v>129.80000000000001</v>
      </c>
      <c r="T136" t="str">
        <f t="shared" si="37"/>
        <v>12CF19</v>
      </c>
      <c r="V136">
        <v>134</v>
      </c>
      <c r="W136">
        <f t="shared" si="41"/>
        <v>1340</v>
      </c>
      <c r="X136">
        <f t="shared" si="43"/>
        <v>1340</v>
      </c>
      <c r="Y136">
        <f t="shared" si="42"/>
        <v>60</v>
      </c>
      <c r="Z136" s="4">
        <f t="shared" si="40"/>
        <v>2666666.6666666665</v>
      </c>
      <c r="AA136" s="3">
        <f t="shared" si="40"/>
        <v>60</v>
      </c>
      <c r="AB136" t="str">
        <f t="shared" si="44"/>
        <v>28B0AA</v>
      </c>
    </row>
    <row r="137" spans="14:28">
      <c r="N137">
        <v>135</v>
      </c>
      <c r="O137">
        <f t="shared" si="45"/>
        <v>1350</v>
      </c>
      <c r="P137">
        <f t="shared" si="33"/>
        <v>1350</v>
      </c>
      <c r="Q137">
        <f t="shared" si="34"/>
        <v>122</v>
      </c>
      <c r="R137" s="4">
        <f t="shared" si="35"/>
        <v>1311475.4098360655</v>
      </c>
      <c r="S137" s="3">
        <f t="shared" si="36"/>
        <v>122.00000000000001</v>
      </c>
      <c r="T137" t="str">
        <f t="shared" si="37"/>
        <v>1402F3</v>
      </c>
      <c r="V137">
        <v>135</v>
      </c>
      <c r="W137">
        <f t="shared" si="41"/>
        <v>1350</v>
      </c>
      <c r="X137">
        <f t="shared" si="43"/>
        <v>1350</v>
      </c>
      <c r="Y137">
        <f t="shared" si="42"/>
        <v>60</v>
      </c>
      <c r="Z137" s="4">
        <f t="shared" si="40"/>
        <v>2666666.6666666665</v>
      </c>
      <c r="AA137" s="3">
        <f t="shared" si="40"/>
        <v>60</v>
      </c>
      <c r="AB137" t="str">
        <f t="shared" si="44"/>
        <v>28B0AA</v>
      </c>
    </row>
    <row r="138" spans="14:28">
      <c r="N138">
        <v>136</v>
      </c>
      <c r="O138">
        <f t="shared" si="45"/>
        <v>1360</v>
      </c>
      <c r="P138">
        <f t="shared" si="33"/>
        <v>1360</v>
      </c>
      <c r="Q138">
        <f t="shared" si="34"/>
        <v>114.20000000000002</v>
      </c>
      <c r="R138" s="4">
        <f t="shared" si="35"/>
        <v>1401050.7880910682</v>
      </c>
      <c r="S138" s="3">
        <f t="shared" si="36"/>
        <v>114.20000000000002</v>
      </c>
      <c r="T138" t="str">
        <f t="shared" si="37"/>
        <v>1560DA</v>
      </c>
      <c r="V138">
        <v>136</v>
      </c>
      <c r="W138">
        <f t="shared" si="41"/>
        <v>1360</v>
      </c>
      <c r="X138">
        <f t="shared" si="43"/>
        <v>1360</v>
      </c>
      <c r="Y138">
        <f t="shared" si="42"/>
        <v>60</v>
      </c>
      <c r="Z138" s="4">
        <f t="shared" si="40"/>
        <v>2666666.6666666665</v>
      </c>
      <c r="AA138" s="3">
        <f t="shared" si="40"/>
        <v>60</v>
      </c>
      <c r="AB138" t="str">
        <f t="shared" si="44"/>
        <v>28B0AA</v>
      </c>
    </row>
    <row r="139" spans="14:28">
      <c r="N139">
        <v>137</v>
      </c>
      <c r="O139">
        <f t="shared" si="45"/>
        <v>1370</v>
      </c>
      <c r="P139">
        <f t="shared" ref="P139:P202" si="46">N139*10</f>
        <v>1370</v>
      </c>
      <c r="Q139">
        <f t="shared" ref="Q139:Q202" si="47">IF(O139&gt;$A$5,0,IF(O139&lt;$A$4,O139/($A$4)*($A$2-$A$3)+$A$3,IF($A$5-O139&lt;$A$4,($A$5-O139)/($A$4)*($A$2-$A$3)+$A$3,$A$2)))</f>
        <v>106.4</v>
      </c>
      <c r="R139" s="4">
        <f t="shared" ref="R139:R202" si="48">IFERROR(160*1000*1000/Q139,0)</f>
        <v>1503759.3984962406</v>
      </c>
      <c r="S139" s="3">
        <f t="shared" ref="S139:S202" si="49">IFERROR(160*1000*1000/R139,0)</f>
        <v>106.4</v>
      </c>
      <c r="T139" t="str">
        <f t="shared" ref="T139:T202" si="50">DEC2HEX(R139)</f>
        <v>16F20F</v>
      </c>
      <c r="V139">
        <v>137</v>
      </c>
      <c r="W139">
        <f t="shared" si="41"/>
        <v>1370</v>
      </c>
      <c r="X139">
        <f t="shared" si="43"/>
        <v>1370</v>
      </c>
      <c r="Y139">
        <f t="shared" si="42"/>
        <v>60</v>
      </c>
      <c r="Z139" s="4">
        <f t="shared" ref="Z139:AA158" si="51">IFERROR(160*1000*1000/Y139,0)</f>
        <v>2666666.6666666665</v>
      </c>
      <c r="AA139" s="3">
        <f t="shared" si="51"/>
        <v>60</v>
      </c>
      <c r="AB139" t="str">
        <f t="shared" si="44"/>
        <v>28B0AA</v>
      </c>
    </row>
    <row r="140" spans="14:28">
      <c r="N140">
        <v>138</v>
      </c>
      <c r="O140">
        <f t="shared" si="45"/>
        <v>1380</v>
      </c>
      <c r="P140">
        <f t="shared" si="46"/>
        <v>1380</v>
      </c>
      <c r="Q140">
        <f t="shared" si="47"/>
        <v>98.6</v>
      </c>
      <c r="R140" s="4">
        <f t="shared" si="48"/>
        <v>1622718.0527383368</v>
      </c>
      <c r="S140" s="3">
        <f t="shared" si="49"/>
        <v>98.6</v>
      </c>
      <c r="T140" t="str">
        <f t="shared" si="50"/>
        <v>18C2BE</v>
      </c>
      <c r="V140">
        <v>138</v>
      </c>
      <c r="W140">
        <f t="shared" si="41"/>
        <v>1380</v>
      </c>
      <c r="X140">
        <f t="shared" si="43"/>
        <v>1380</v>
      </c>
      <c r="Y140">
        <f t="shared" si="42"/>
        <v>60</v>
      </c>
      <c r="Z140" s="4">
        <f t="shared" si="51"/>
        <v>2666666.6666666665</v>
      </c>
      <c r="AA140" s="3">
        <f t="shared" si="51"/>
        <v>60</v>
      </c>
      <c r="AB140" t="str">
        <f t="shared" si="44"/>
        <v>28B0AA</v>
      </c>
    </row>
    <row r="141" spans="14:28">
      <c r="N141">
        <v>139</v>
      </c>
      <c r="O141">
        <f t="shared" si="45"/>
        <v>1390</v>
      </c>
      <c r="P141">
        <f t="shared" si="46"/>
        <v>1390</v>
      </c>
      <c r="Q141">
        <f t="shared" si="47"/>
        <v>90.8</v>
      </c>
      <c r="R141" s="4">
        <f t="shared" si="48"/>
        <v>1762114.537444934</v>
      </c>
      <c r="S141" s="3">
        <f t="shared" si="49"/>
        <v>90.8</v>
      </c>
      <c r="T141" t="str">
        <f t="shared" si="50"/>
        <v>1AE342</v>
      </c>
      <c r="V141">
        <v>139</v>
      </c>
      <c r="W141">
        <f t="shared" si="41"/>
        <v>1390</v>
      </c>
      <c r="X141">
        <f t="shared" si="43"/>
        <v>1390</v>
      </c>
      <c r="Y141">
        <f t="shared" si="42"/>
        <v>60</v>
      </c>
      <c r="Z141" s="4">
        <f t="shared" si="51"/>
        <v>2666666.6666666665</v>
      </c>
      <c r="AA141" s="3">
        <f t="shared" si="51"/>
        <v>60</v>
      </c>
      <c r="AB141" t="str">
        <f t="shared" si="44"/>
        <v>28B0AA</v>
      </c>
    </row>
    <row r="142" spans="14:28">
      <c r="N142">
        <v>140</v>
      </c>
      <c r="O142">
        <f t="shared" si="45"/>
        <v>1400</v>
      </c>
      <c r="P142">
        <f t="shared" si="46"/>
        <v>1400</v>
      </c>
      <c r="Q142">
        <f t="shared" si="47"/>
        <v>83</v>
      </c>
      <c r="R142" s="4">
        <f t="shared" si="48"/>
        <v>1927710.843373494</v>
      </c>
      <c r="S142" s="3">
        <f t="shared" si="49"/>
        <v>83</v>
      </c>
      <c r="T142" t="str">
        <f t="shared" si="50"/>
        <v>1D6A1E</v>
      </c>
      <c r="V142">
        <v>140</v>
      </c>
      <c r="W142">
        <f t="shared" si="41"/>
        <v>1400</v>
      </c>
      <c r="X142">
        <f t="shared" si="43"/>
        <v>1400</v>
      </c>
      <c r="Y142">
        <f t="shared" si="42"/>
        <v>60</v>
      </c>
      <c r="Z142" s="4">
        <f t="shared" si="51"/>
        <v>2666666.6666666665</v>
      </c>
      <c r="AA142" s="3">
        <f t="shared" si="51"/>
        <v>60</v>
      </c>
      <c r="AB142" t="str">
        <f t="shared" si="44"/>
        <v>28B0AA</v>
      </c>
    </row>
    <row r="143" spans="14:28">
      <c r="N143">
        <v>141</v>
      </c>
      <c r="O143">
        <f t="shared" si="45"/>
        <v>1410</v>
      </c>
      <c r="P143">
        <f t="shared" si="46"/>
        <v>1410</v>
      </c>
      <c r="Q143">
        <f t="shared" si="47"/>
        <v>75.2</v>
      </c>
      <c r="R143" s="4">
        <f t="shared" si="48"/>
        <v>2127659.5744680851</v>
      </c>
      <c r="S143" s="3">
        <f t="shared" si="49"/>
        <v>75.2</v>
      </c>
      <c r="T143" t="str">
        <f t="shared" si="50"/>
        <v>20772B</v>
      </c>
      <c r="V143">
        <v>141</v>
      </c>
      <c r="W143">
        <f t="shared" si="41"/>
        <v>1410</v>
      </c>
      <c r="X143">
        <f t="shared" si="43"/>
        <v>1410</v>
      </c>
      <c r="Y143">
        <f t="shared" si="42"/>
        <v>60</v>
      </c>
      <c r="Z143" s="4">
        <f t="shared" si="51"/>
        <v>2666666.6666666665</v>
      </c>
      <c r="AA143" s="3">
        <f t="shared" si="51"/>
        <v>60</v>
      </c>
      <c r="AB143" t="str">
        <f t="shared" si="44"/>
        <v>28B0AA</v>
      </c>
    </row>
    <row r="144" spans="14:28">
      <c r="N144">
        <v>142</v>
      </c>
      <c r="O144">
        <f t="shared" si="45"/>
        <v>1420</v>
      </c>
      <c r="P144">
        <f t="shared" si="46"/>
        <v>1420</v>
      </c>
      <c r="Q144">
        <f t="shared" si="47"/>
        <v>67.400000000000006</v>
      </c>
      <c r="R144" s="4">
        <f t="shared" si="48"/>
        <v>2373887.240356083</v>
      </c>
      <c r="S144" s="3">
        <f t="shared" si="49"/>
        <v>67.400000000000006</v>
      </c>
      <c r="T144" t="str">
        <f t="shared" si="50"/>
        <v>2438FF</v>
      </c>
      <c r="V144">
        <v>142</v>
      </c>
      <c r="W144">
        <f t="shared" si="41"/>
        <v>1420</v>
      </c>
      <c r="X144">
        <f t="shared" si="43"/>
        <v>1420</v>
      </c>
      <c r="Y144">
        <f t="shared" si="42"/>
        <v>60</v>
      </c>
      <c r="Z144" s="4">
        <f t="shared" si="51"/>
        <v>2666666.6666666665</v>
      </c>
      <c r="AA144" s="3">
        <f t="shared" si="51"/>
        <v>60</v>
      </c>
      <c r="AB144" t="str">
        <f t="shared" si="44"/>
        <v>28B0AA</v>
      </c>
    </row>
    <row r="145" spans="14:28">
      <c r="N145">
        <v>143</v>
      </c>
      <c r="O145">
        <f t="shared" si="45"/>
        <v>1430</v>
      </c>
      <c r="P145">
        <f t="shared" si="46"/>
        <v>1430</v>
      </c>
      <c r="Q145">
        <f t="shared" si="47"/>
        <v>59.600000000000009</v>
      </c>
      <c r="R145" s="4">
        <f t="shared" si="48"/>
        <v>2684563.7583892616</v>
      </c>
      <c r="S145" s="3">
        <f t="shared" si="49"/>
        <v>59.6</v>
      </c>
      <c r="T145" t="str">
        <f t="shared" si="50"/>
        <v>28F693</v>
      </c>
      <c r="V145">
        <v>143</v>
      </c>
      <c r="W145">
        <f t="shared" si="41"/>
        <v>1430</v>
      </c>
      <c r="X145">
        <f t="shared" si="43"/>
        <v>1430</v>
      </c>
      <c r="Y145">
        <f t="shared" si="42"/>
        <v>60</v>
      </c>
      <c r="Z145" s="4">
        <f t="shared" si="51"/>
        <v>2666666.6666666665</v>
      </c>
      <c r="AA145" s="3">
        <f t="shared" si="51"/>
        <v>60</v>
      </c>
      <c r="AB145" t="str">
        <f t="shared" si="44"/>
        <v>28B0AA</v>
      </c>
    </row>
    <row r="146" spans="14:28">
      <c r="N146">
        <v>144</v>
      </c>
      <c r="O146">
        <f t="shared" si="45"/>
        <v>1440</v>
      </c>
      <c r="P146">
        <f t="shared" si="46"/>
        <v>1440</v>
      </c>
      <c r="Q146">
        <f t="shared" si="47"/>
        <v>51.8</v>
      </c>
      <c r="R146" s="4">
        <f t="shared" si="48"/>
        <v>3088803.0888030888</v>
      </c>
      <c r="S146" s="3">
        <f t="shared" si="49"/>
        <v>51.800000000000004</v>
      </c>
      <c r="T146" t="str">
        <f t="shared" si="50"/>
        <v>2F21A3</v>
      </c>
      <c r="V146">
        <v>144</v>
      </c>
      <c r="W146">
        <f t="shared" si="41"/>
        <v>1440</v>
      </c>
      <c r="X146">
        <f t="shared" si="43"/>
        <v>1440</v>
      </c>
      <c r="Y146">
        <f t="shared" si="42"/>
        <v>60</v>
      </c>
      <c r="Z146" s="4">
        <f t="shared" si="51"/>
        <v>2666666.6666666665</v>
      </c>
      <c r="AA146" s="3">
        <f t="shared" si="51"/>
        <v>60</v>
      </c>
      <c r="AB146" t="str">
        <f t="shared" si="44"/>
        <v>28B0AA</v>
      </c>
    </row>
    <row r="147" spans="14:28">
      <c r="N147">
        <v>145</v>
      </c>
      <c r="O147">
        <f t="shared" si="45"/>
        <v>1450</v>
      </c>
      <c r="P147">
        <f t="shared" si="46"/>
        <v>1450</v>
      </c>
      <c r="Q147">
        <f t="shared" si="47"/>
        <v>44</v>
      </c>
      <c r="R147" s="4">
        <f t="shared" si="48"/>
        <v>3636363.6363636362</v>
      </c>
      <c r="S147" s="3">
        <f t="shared" si="49"/>
        <v>44</v>
      </c>
      <c r="T147" t="str">
        <f t="shared" si="50"/>
        <v>377C8B</v>
      </c>
      <c r="V147">
        <v>145</v>
      </c>
      <c r="W147">
        <f t="shared" si="41"/>
        <v>1450</v>
      </c>
      <c r="X147">
        <f t="shared" si="43"/>
        <v>1450</v>
      </c>
      <c r="Y147">
        <f t="shared" si="42"/>
        <v>60</v>
      </c>
      <c r="Z147" s="4">
        <f t="shared" si="51"/>
        <v>2666666.6666666665</v>
      </c>
      <c r="AA147" s="3">
        <f t="shared" si="51"/>
        <v>60</v>
      </c>
      <c r="AB147" t="str">
        <f t="shared" si="44"/>
        <v>28B0AA</v>
      </c>
    </row>
    <row r="148" spans="14:28">
      <c r="N148">
        <v>146</v>
      </c>
      <c r="O148">
        <f t="shared" si="45"/>
        <v>1460</v>
      </c>
      <c r="P148">
        <f t="shared" si="46"/>
        <v>1460</v>
      </c>
      <c r="Q148">
        <f t="shared" si="47"/>
        <v>36.200000000000003</v>
      </c>
      <c r="R148" s="4">
        <f t="shared" si="48"/>
        <v>4419889.5027624303</v>
      </c>
      <c r="S148" s="3">
        <f t="shared" si="49"/>
        <v>36.200000000000003</v>
      </c>
      <c r="T148" t="str">
        <f t="shared" si="50"/>
        <v>437131</v>
      </c>
      <c r="V148">
        <v>146</v>
      </c>
      <c r="W148">
        <f t="shared" si="41"/>
        <v>1460</v>
      </c>
      <c r="X148">
        <f t="shared" si="43"/>
        <v>1460</v>
      </c>
      <c r="Y148">
        <f t="shared" si="42"/>
        <v>60</v>
      </c>
      <c r="Z148" s="4">
        <f t="shared" si="51"/>
        <v>2666666.6666666665</v>
      </c>
      <c r="AA148" s="3">
        <f t="shared" si="51"/>
        <v>60</v>
      </c>
      <c r="AB148" t="str">
        <f t="shared" si="44"/>
        <v>28B0AA</v>
      </c>
    </row>
    <row r="149" spans="14:28">
      <c r="N149">
        <v>147</v>
      </c>
      <c r="O149">
        <f t="shared" si="45"/>
        <v>1470</v>
      </c>
      <c r="P149">
        <f t="shared" si="46"/>
        <v>1470</v>
      </c>
      <c r="Q149">
        <f t="shared" si="47"/>
        <v>28.4</v>
      </c>
      <c r="R149" s="4">
        <f t="shared" si="48"/>
        <v>5633802.8169014091</v>
      </c>
      <c r="S149" s="3">
        <f t="shared" si="49"/>
        <v>28.4</v>
      </c>
      <c r="T149" t="str">
        <f t="shared" si="50"/>
        <v>55F70A</v>
      </c>
      <c r="V149">
        <v>147</v>
      </c>
      <c r="W149">
        <f t="shared" si="41"/>
        <v>1470</v>
      </c>
      <c r="X149">
        <f t="shared" si="43"/>
        <v>1470</v>
      </c>
      <c r="Y149">
        <f t="shared" si="42"/>
        <v>60</v>
      </c>
      <c r="Z149" s="4">
        <f t="shared" si="51"/>
        <v>2666666.6666666665</v>
      </c>
      <c r="AA149" s="3">
        <f t="shared" si="51"/>
        <v>60</v>
      </c>
      <c r="AB149" t="str">
        <f t="shared" si="44"/>
        <v>28B0AA</v>
      </c>
    </row>
    <row r="150" spans="14:28">
      <c r="N150">
        <v>148</v>
      </c>
      <c r="O150">
        <f t="shared" si="45"/>
        <v>1480</v>
      </c>
      <c r="P150">
        <f t="shared" si="46"/>
        <v>1480</v>
      </c>
      <c r="Q150">
        <f t="shared" si="47"/>
        <v>20.6</v>
      </c>
      <c r="R150" s="4">
        <f t="shared" si="48"/>
        <v>7766990.2912621358</v>
      </c>
      <c r="S150" s="3">
        <f t="shared" si="49"/>
        <v>20.6</v>
      </c>
      <c r="T150" t="str">
        <f t="shared" si="50"/>
        <v>7683CE</v>
      </c>
      <c r="V150">
        <v>148</v>
      </c>
      <c r="W150">
        <f t="shared" si="41"/>
        <v>1480</v>
      </c>
      <c r="X150">
        <f t="shared" si="43"/>
        <v>1480</v>
      </c>
      <c r="Y150">
        <f t="shared" si="42"/>
        <v>60</v>
      </c>
      <c r="Z150" s="4">
        <f t="shared" si="51"/>
        <v>2666666.6666666665</v>
      </c>
      <c r="AA150" s="3">
        <f t="shared" si="51"/>
        <v>60</v>
      </c>
      <c r="AB150" t="str">
        <f t="shared" si="44"/>
        <v>28B0AA</v>
      </c>
    </row>
    <row r="151" spans="14:28">
      <c r="N151">
        <v>149</v>
      </c>
      <c r="O151">
        <f t="shared" si="45"/>
        <v>1490</v>
      </c>
      <c r="P151">
        <f t="shared" si="46"/>
        <v>1490</v>
      </c>
      <c r="Q151">
        <f t="shared" si="47"/>
        <v>12.8</v>
      </c>
      <c r="R151" s="4">
        <f t="shared" si="48"/>
        <v>12500000</v>
      </c>
      <c r="S151" s="3">
        <f t="shared" si="49"/>
        <v>12.8</v>
      </c>
      <c r="T151" t="str">
        <f t="shared" si="50"/>
        <v>BEBC20</v>
      </c>
      <c r="V151">
        <v>149</v>
      </c>
      <c r="W151">
        <f t="shared" si="41"/>
        <v>1490</v>
      </c>
      <c r="X151">
        <f t="shared" si="43"/>
        <v>1490</v>
      </c>
      <c r="Y151">
        <f t="shared" si="42"/>
        <v>60</v>
      </c>
      <c r="Z151" s="4">
        <f t="shared" si="51"/>
        <v>2666666.6666666665</v>
      </c>
      <c r="AA151" s="3">
        <f t="shared" si="51"/>
        <v>60</v>
      </c>
      <c r="AB151" t="str">
        <f t="shared" si="44"/>
        <v>28B0AA</v>
      </c>
    </row>
    <row r="152" spans="14:28">
      <c r="N152">
        <v>150</v>
      </c>
      <c r="O152">
        <f t="shared" si="45"/>
        <v>1500</v>
      </c>
      <c r="P152">
        <f t="shared" si="46"/>
        <v>1500</v>
      </c>
      <c r="Q152">
        <f t="shared" si="47"/>
        <v>5</v>
      </c>
      <c r="R152" s="4">
        <f t="shared" si="48"/>
        <v>32000000</v>
      </c>
      <c r="S152" s="3">
        <f t="shared" si="49"/>
        <v>5</v>
      </c>
      <c r="T152" t="str">
        <f t="shared" si="50"/>
        <v>1E84800</v>
      </c>
      <c r="V152">
        <v>150</v>
      </c>
      <c r="W152">
        <f t="shared" si="41"/>
        <v>1500</v>
      </c>
      <c r="X152">
        <f t="shared" si="43"/>
        <v>1500</v>
      </c>
      <c r="Y152">
        <f t="shared" si="42"/>
        <v>60</v>
      </c>
      <c r="Z152" s="4">
        <f t="shared" si="51"/>
        <v>2666666.6666666665</v>
      </c>
      <c r="AA152" s="3">
        <f t="shared" si="51"/>
        <v>60</v>
      </c>
      <c r="AB152" t="str">
        <f t="shared" si="44"/>
        <v>28B0AA</v>
      </c>
    </row>
    <row r="153" spans="14:28">
      <c r="N153">
        <v>151</v>
      </c>
      <c r="O153">
        <f t="shared" si="45"/>
        <v>1510</v>
      </c>
      <c r="P153">
        <f t="shared" si="46"/>
        <v>1510</v>
      </c>
      <c r="Q153">
        <f t="shared" si="47"/>
        <v>0</v>
      </c>
      <c r="R153" s="4">
        <f t="shared" si="48"/>
        <v>0</v>
      </c>
      <c r="S153" s="3">
        <f t="shared" si="49"/>
        <v>0</v>
      </c>
      <c r="T153" t="str">
        <f t="shared" si="50"/>
        <v>0</v>
      </c>
      <c r="V153">
        <v>151</v>
      </c>
      <c r="W153">
        <f t="shared" si="41"/>
        <v>1510</v>
      </c>
      <c r="X153">
        <f t="shared" si="43"/>
        <v>1510</v>
      </c>
      <c r="Y153">
        <f t="shared" si="42"/>
        <v>60</v>
      </c>
      <c r="Z153" s="4">
        <f t="shared" si="51"/>
        <v>2666666.6666666665</v>
      </c>
      <c r="AA153" s="3">
        <f t="shared" si="51"/>
        <v>60</v>
      </c>
      <c r="AB153" t="str">
        <f t="shared" si="44"/>
        <v>28B0AA</v>
      </c>
    </row>
    <row r="154" spans="14:28">
      <c r="N154">
        <v>152</v>
      </c>
      <c r="O154">
        <f t="shared" si="45"/>
        <v>1520</v>
      </c>
      <c r="P154">
        <f t="shared" si="46"/>
        <v>1520</v>
      </c>
      <c r="Q154">
        <f t="shared" si="47"/>
        <v>0</v>
      </c>
      <c r="R154" s="4">
        <f t="shared" si="48"/>
        <v>0</v>
      </c>
      <c r="S154" s="3">
        <f t="shared" si="49"/>
        <v>0</v>
      </c>
      <c r="T154" t="str">
        <f t="shared" si="50"/>
        <v>0</v>
      </c>
      <c r="V154">
        <v>152</v>
      </c>
      <c r="W154">
        <f t="shared" si="41"/>
        <v>1520</v>
      </c>
      <c r="X154">
        <f t="shared" si="43"/>
        <v>1520</v>
      </c>
      <c r="Y154">
        <f t="shared" si="42"/>
        <v>60</v>
      </c>
      <c r="Z154" s="4">
        <f t="shared" si="51"/>
        <v>2666666.6666666665</v>
      </c>
      <c r="AA154" s="3">
        <f t="shared" si="51"/>
        <v>60</v>
      </c>
      <c r="AB154" t="str">
        <f t="shared" si="44"/>
        <v>28B0AA</v>
      </c>
    </row>
    <row r="155" spans="14:28">
      <c r="N155">
        <v>153</v>
      </c>
      <c r="O155">
        <f t="shared" si="45"/>
        <v>1530</v>
      </c>
      <c r="P155">
        <f t="shared" si="46"/>
        <v>1530</v>
      </c>
      <c r="Q155">
        <f t="shared" si="47"/>
        <v>0</v>
      </c>
      <c r="R155" s="4">
        <f t="shared" si="48"/>
        <v>0</v>
      </c>
      <c r="S155" s="3">
        <f t="shared" si="49"/>
        <v>0</v>
      </c>
      <c r="T155" t="str">
        <f t="shared" si="50"/>
        <v>0</v>
      </c>
      <c r="V155">
        <v>153</v>
      </c>
      <c r="W155">
        <f t="shared" si="41"/>
        <v>1530</v>
      </c>
      <c r="X155">
        <f t="shared" si="43"/>
        <v>1530</v>
      </c>
      <c r="Y155">
        <f t="shared" si="42"/>
        <v>60</v>
      </c>
      <c r="Z155" s="4">
        <f t="shared" si="51"/>
        <v>2666666.6666666665</v>
      </c>
      <c r="AA155" s="3">
        <f t="shared" si="51"/>
        <v>60</v>
      </c>
      <c r="AB155" t="str">
        <f t="shared" si="44"/>
        <v>28B0AA</v>
      </c>
    </row>
    <row r="156" spans="14:28">
      <c r="N156">
        <v>154</v>
      </c>
      <c r="O156">
        <f t="shared" si="45"/>
        <v>1540</v>
      </c>
      <c r="P156">
        <f t="shared" si="46"/>
        <v>1540</v>
      </c>
      <c r="Q156">
        <f t="shared" si="47"/>
        <v>0</v>
      </c>
      <c r="R156" s="4">
        <f t="shared" si="48"/>
        <v>0</v>
      </c>
      <c r="S156" s="3">
        <f t="shared" si="49"/>
        <v>0</v>
      </c>
      <c r="T156" t="str">
        <f t="shared" si="50"/>
        <v>0</v>
      </c>
      <c r="V156">
        <v>154</v>
      </c>
      <c r="W156">
        <f t="shared" si="41"/>
        <v>1540</v>
      </c>
      <c r="X156">
        <f t="shared" si="43"/>
        <v>1540</v>
      </c>
      <c r="Y156">
        <f t="shared" si="42"/>
        <v>60</v>
      </c>
      <c r="Z156" s="4">
        <f t="shared" si="51"/>
        <v>2666666.6666666665</v>
      </c>
      <c r="AA156" s="3">
        <f t="shared" si="51"/>
        <v>60</v>
      </c>
      <c r="AB156" t="str">
        <f t="shared" si="44"/>
        <v>28B0AA</v>
      </c>
    </row>
    <row r="157" spans="14:28">
      <c r="N157">
        <v>155</v>
      </c>
      <c r="O157">
        <f t="shared" si="45"/>
        <v>1550</v>
      </c>
      <c r="P157">
        <f t="shared" si="46"/>
        <v>1550</v>
      </c>
      <c r="Q157">
        <f t="shared" si="47"/>
        <v>0</v>
      </c>
      <c r="R157" s="4">
        <f t="shared" si="48"/>
        <v>0</v>
      </c>
      <c r="S157" s="3">
        <f t="shared" si="49"/>
        <v>0</v>
      </c>
      <c r="T157" t="str">
        <f t="shared" si="50"/>
        <v>0</v>
      </c>
      <c r="V157">
        <v>155</v>
      </c>
      <c r="W157">
        <f t="shared" si="41"/>
        <v>1550</v>
      </c>
      <c r="X157">
        <f t="shared" si="43"/>
        <v>1550</v>
      </c>
      <c r="Y157">
        <f t="shared" si="42"/>
        <v>60</v>
      </c>
      <c r="Z157" s="4">
        <f t="shared" si="51"/>
        <v>2666666.6666666665</v>
      </c>
      <c r="AA157" s="3">
        <f t="shared" si="51"/>
        <v>60</v>
      </c>
      <c r="AB157" t="str">
        <f t="shared" si="44"/>
        <v>28B0AA</v>
      </c>
    </row>
    <row r="158" spans="14:28">
      <c r="N158">
        <v>156</v>
      </c>
      <c r="O158">
        <f t="shared" si="45"/>
        <v>1560</v>
      </c>
      <c r="P158">
        <f t="shared" si="46"/>
        <v>1560</v>
      </c>
      <c r="Q158">
        <f t="shared" si="47"/>
        <v>0</v>
      </c>
      <c r="R158" s="4">
        <f t="shared" si="48"/>
        <v>0</v>
      </c>
      <c r="S158" s="3">
        <f t="shared" si="49"/>
        <v>0</v>
      </c>
      <c r="T158" t="str">
        <f t="shared" si="50"/>
        <v>0</v>
      </c>
      <c r="V158">
        <v>156</v>
      </c>
      <c r="W158">
        <f t="shared" si="41"/>
        <v>1560</v>
      </c>
      <c r="X158">
        <f t="shared" si="43"/>
        <v>1560</v>
      </c>
      <c r="Y158">
        <f t="shared" si="42"/>
        <v>60</v>
      </c>
      <c r="Z158" s="4">
        <f t="shared" si="51"/>
        <v>2666666.6666666665</v>
      </c>
      <c r="AA158" s="3">
        <f t="shared" si="51"/>
        <v>60</v>
      </c>
      <c r="AB158" t="str">
        <f t="shared" si="44"/>
        <v>28B0AA</v>
      </c>
    </row>
    <row r="159" spans="14:28">
      <c r="N159">
        <v>157</v>
      </c>
      <c r="O159">
        <f t="shared" si="45"/>
        <v>1570</v>
      </c>
      <c r="P159">
        <f t="shared" si="46"/>
        <v>1570</v>
      </c>
      <c r="Q159">
        <f t="shared" si="47"/>
        <v>0</v>
      </c>
      <c r="R159" s="4">
        <f t="shared" si="48"/>
        <v>0</v>
      </c>
      <c r="S159" s="3">
        <f t="shared" si="49"/>
        <v>0</v>
      </c>
      <c r="T159" t="str">
        <f t="shared" si="50"/>
        <v>0</v>
      </c>
      <c r="V159">
        <v>157</v>
      </c>
      <c r="W159">
        <f t="shared" si="41"/>
        <v>1570</v>
      </c>
      <c r="X159">
        <f t="shared" si="43"/>
        <v>1570</v>
      </c>
      <c r="Y159">
        <f t="shared" si="42"/>
        <v>60</v>
      </c>
      <c r="Z159" s="4">
        <f t="shared" ref="Z159:AA178" si="52">IFERROR(160*1000*1000/Y159,0)</f>
        <v>2666666.6666666665</v>
      </c>
      <c r="AA159" s="3">
        <f t="shared" si="52"/>
        <v>60</v>
      </c>
      <c r="AB159" t="str">
        <f t="shared" si="44"/>
        <v>28B0AA</v>
      </c>
    </row>
    <row r="160" spans="14:28">
      <c r="N160">
        <v>158</v>
      </c>
      <c r="O160">
        <f t="shared" si="45"/>
        <v>1580</v>
      </c>
      <c r="P160">
        <f t="shared" si="46"/>
        <v>1580</v>
      </c>
      <c r="Q160">
        <f t="shared" si="47"/>
        <v>0</v>
      </c>
      <c r="R160" s="4">
        <f t="shared" si="48"/>
        <v>0</v>
      </c>
      <c r="S160" s="3">
        <f t="shared" si="49"/>
        <v>0</v>
      </c>
      <c r="T160" t="str">
        <f t="shared" si="50"/>
        <v>0</v>
      </c>
      <c r="V160">
        <v>158</v>
      </c>
      <c r="W160">
        <f t="shared" si="41"/>
        <v>1580</v>
      </c>
      <c r="X160">
        <f t="shared" si="43"/>
        <v>1580</v>
      </c>
      <c r="Y160">
        <f t="shared" si="42"/>
        <v>60</v>
      </c>
      <c r="Z160" s="4">
        <f t="shared" si="52"/>
        <v>2666666.6666666665</v>
      </c>
      <c r="AA160" s="3">
        <f t="shared" si="52"/>
        <v>60</v>
      </c>
      <c r="AB160" t="str">
        <f t="shared" si="44"/>
        <v>28B0AA</v>
      </c>
    </row>
    <row r="161" spans="14:28">
      <c r="N161">
        <v>159</v>
      </c>
      <c r="O161">
        <f t="shared" si="45"/>
        <v>1590</v>
      </c>
      <c r="P161">
        <f t="shared" si="46"/>
        <v>1590</v>
      </c>
      <c r="Q161">
        <f t="shared" si="47"/>
        <v>0</v>
      </c>
      <c r="R161" s="4">
        <f t="shared" si="48"/>
        <v>0</v>
      </c>
      <c r="S161" s="3">
        <f t="shared" si="49"/>
        <v>0</v>
      </c>
      <c r="T161" t="str">
        <f t="shared" si="50"/>
        <v>0</v>
      </c>
      <c r="V161">
        <v>159</v>
      </c>
      <c r="W161">
        <f t="shared" si="41"/>
        <v>1590</v>
      </c>
      <c r="X161">
        <f t="shared" si="43"/>
        <v>1590</v>
      </c>
      <c r="Y161">
        <f t="shared" si="42"/>
        <v>60</v>
      </c>
      <c r="Z161" s="4">
        <f t="shared" si="52"/>
        <v>2666666.6666666665</v>
      </c>
      <c r="AA161" s="3">
        <f t="shared" si="52"/>
        <v>60</v>
      </c>
      <c r="AB161" t="str">
        <f t="shared" si="44"/>
        <v>28B0AA</v>
      </c>
    </row>
    <row r="162" spans="14:28">
      <c r="N162">
        <v>160</v>
      </c>
      <c r="O162">
        <f t="shared" si="45"/>
        <v>1600</v>
      </c>
      <c r="P162">
        <f t="shared" si="46"/>
        <v>1600</v>
      </c>
      <c r="Q162">
        <f t="shared" si="47"/>
        <v>0</v>
      </c>
      <c r="R162" s="4">
        <f t="shared" si="48"/>
        <v>0</v>
      </c>
      <c r="S162" s="3">
        <f t="shared" si="49"/>
        <v>0</v>
      </c>
      <c r="T162" t="str">
        <f t="shared" si="50"/>
        <v>0</v>
      </c>
      <c r="V162">
        <v>160</v>
      </c>
      <c r="W162">
        <f t="shared" si="41"/>
        <v>1600</v>
      </c>
      <c r="X162">
        <f t="shared" si="43"/>
        <v>1600</v>
      </c>
      <c r="Y162">
        <f t="shared" si="42"/>
        <v>60</v>
      </c>
      <c r="Z162" s="4">
        <f t="shared" si="52"/>
        <v>2666666.6666666665</v>
      </c>
      <c r="AA162" s="3">
        <f t="shared" si="52"/>
        <v>60</v>
      </c>
      <c r="AB162" t="str">
        <f t="shared" si="44"/>
        <v>28B0AA</v>
      </c>
    </row>
    <row r="163" spans="14:28">
      <c r="N163">
        <v>161</v>
      </c>
      <c r="O163">
        <f t="shared" si="45"/>
        <v>1610</v>
      </c>
      <c r="P163">
        <f t="shared" si="46"/>
        <v>1610</v>
      </c>
      <c r="Q163">
        <f t="shared" si="47"/>
        <v>0</v>
      </c>
      <c r="R163" s="4">
        <f t="shared" si="48"/>
        <v>0</v>
      </c>
      <c r="S163" s="3">
        <f t="shared" si="49"/>
        <v>0</v>
      </c>
      <c r="T163" t="str">
        <f t="shared" si="50"/>
        <v>0</v>
      </c>
      <c r="V163">
        <v>161</v>
      </c>
      <c r="W163">
        <f t="shared" si="41"/>
        <v>1610</v>
      </c>
      <c r="X163">
        <f t="shared" si="43"/>
        <v>1610</v>
      </c>
      <c r="Y163">
        <f t="shared" si="42"/>
        <v>60</v>
      </c>
      <c r="Z163" s="4">
        <f t="shared" si="52"/>
        <v>2666666.6666666665</v>
      </c>
      <c r="AA163" s="3">
        <f t="shared" si="52"/>
        <v>60</v>
      </c>
      <c r="AB163" t="str">
        <f t="shared" si="44"/>
        <v>28B0AA</v>
      </c>
    </row>
    <row r="164" spans="14:28">
      <c r="N164">
        <v>162</v>
      </c>
      <c r="O164">
        <f t="shared" si="45"/>
        <v>1620</v>
      </c>
      <c r="P164">
        <f t="shared" si="46"/>
        <v>1620</v>
      </c>
      <c r="Q164">
        <f t="shared" si="47"/>
        <v>0</v>
      </c>
      <c r="R164" s="4">
        <f t="shared" si="48"/>
        <v>0</v>
      </c>
      <c r="S164" s="3">
        <f t="shared" si="49"/>
        <v>0</v>
      </c>
      <c r="T164" t="str">
        <f t="shared" si="50"/>
        <v>0</v>
      </c>
      <c r="V164">
        <v>162</v>
      </c>
      <c r="W164">
        <f t="shared" si="41"/>
        <v>1620</v>
      </c>
      <c r="X164">
        <f t="shared" si="43"/>
        <v>1620</v>
      </c>
      <c r="Y164">
        <f t="shared" si="42"/>
        <v>60</v>
      </c>
      <c r="Z164" s="4">
        <f t="shared" si="52"/>
        <v>2666666.6666666665</v>
      </c>
      <c r="AA164" s="3">
        <f t="shared" si="52"/>
        <v>60</v>
      </c>
      <c r="AB164" t="str">
        <f t="shared" si="44"/>
        <v>28B0AA</v>
      </c>
    </row>
    <row r="165" spans="14:28">
      <c r="N165">
        <v>163</v>
      </c>
      <c r="O165">
        <f t="shared" si="45"/>
        <v>1630</v>
      </c>
      <c r="P165">
        <f t="shared" si="46"/>
        <v>1630</v>
      </c>
      <c r="Q165">
        <f t="shared" si="47"/>
        <v>0</v>
      </c>
      <c r="R165" s="4">
        <f t="shared" si="48"/>
        <v>0</v>
      </c>
      <c r="S165" s="3">
        <f t="shared" si="49"/>
        <v>0</v>
      </c>
      <c r="T165" t="str">
        <f t="shared" si="50"/>
        <v>0</v>
      </c>
      <c r="V165">
        <v>163</v>
      </c>
      <c r="W165">
        <f t="shared" si="41"/>
        <v>1630</v>
      </c>
      <c r="X165">
        <f t="shared" si="43"/>
        <v>1630</v>
      </c>
      <c r="Y165">
        <f t="shared" si="42"/>
        <v>60</v>
      </c>
      <c r="Z165" s="4">
        <f t="shared" si="52"/>
        <v>2666666.6666666665</v>
      </c>
      <c r="AA165" s="3">
        <f t="shared" si="52"/>
        <v>60</v>
      </c>
      <c r="AB165" t="str">
        <f t="shared" si="44"/>
        <v>28B0AA</v>
      </c>
    </row>
    <row r="166" spans="14:28">
      <c r="N166">
        <v>164</v>
      </c>
      <c r="O166">
        <f t="shared" si="45"/>
        <v>1640</v>
      </c>
      <c r="P166">
        <f t="shared" si="46"/>
        <v>1640</v>
      </c>
      <c r="Q166">
        <f t="shared" si="47"/>
        <v>0</v>
      </c>
      <c r="R166" s="4">
        <f t="shared" si="48"/>
        <v>0</v>
      </c>
      <c r="S166" s="3">
        <f t="shared" si="49"/>
        <v>0</v>
      </c>
      <c r="T166" t="str">
        <f t="shared" si="50"/>
        <v>0</v>
      </c>
      <c r="V166">
        <v>164</v>
      </c>
      <c r="W166">
        <f t="shared" si="41"/>
        <v>1640</v>
      </c>
      <c r="X166">
        <f t="shared" si="43"/>
        <v>1640</v>
      </c>
      <c r="Y166">
        <f t="shared" si="42"/>
        <v>60</v>
      </c>
      <c r="Z166" s="4">
        <f t="shared" si="52"/>
        <v>2666666.6666666665</v>
      </c>
      <c r="AA166" s="3">
        <f t="shared" si="52"/>
        <v>60</v>
      </c>
      <c r="AB166" t="str">
        <f t="shared" si="44"/>
        <v>28B0AA</v>
      </c>
    </row>
    <row r="167" spans="14:28">
      <c r="N167">
        <v>165</v>
      </c>
      <c r="O167">
        <f t="shared" si="45"/>
        <v>1650</v>
      </c>
      <c r="P167">
        <f t="shared" si="46"/>
        <v>1650</v>
      </c>
      <c r="Q167">
        <f t="shared" si="47"/>
        <v>0</v>
      </c>
      <c r="R167" s="4">
        <f t="shared" si="48"/>
        <v>0</v>
      </c>
      <c r="S167" s="3">
        <f t="shared" si="49"/>
        <v>0</v>
      </c>
      <c r="T167" t="str">
        <f t="shared" si="50"/>
        <v>0</v>
      </c>
      <c r="V167">
        <v>165</v>
      </c>
      <c r="W167">
        <f t="shared" si="41"/>
        <v>1650</v>
      </c>
      <c r="X167">
        <f t="shared" si="43"/>
        <v>1650</v>
      </c>
      <c r="Y167">
        <f t="shared" si="42"/>
        <v>60</v>
      </c>
      <c r="Z167" s="4">
        <f t="shared" si="52"/>
        <v>2666666.6666666665</v>
      </c>
      <c r="AA167" s="3">
        <f t="shared" si="52"/>
        <v>60</v>
      </c>
      <c r="AB167" t="str">
        <f t="shared" si="44"/>
        <v>28B0AA</v>
      </c>
    </row>
    <row r="168" spans="14:28">
      <c r="N168">
        <v>166</v>
      </c>
      <c r="O168">
        <f t="shared" si="45"/>
        <v>1660</v>
      </c>
      <c r="P168">
        <f t="shared" si="46"/>
        <v>1660</v>
      </c>
      <c r="Q168">
        <f t="shared" si="47"/>
        <v>0</v>
      </c>
      <c r="R168" s="4">
        <f t="shared" si="48"/>
        <v>0</v>
      </c>
      <c r="S168" s="3">
        <f t="shared" si="49"/>
        <v>0</v>
      </c>
      <c r="T168" t="str">
        <f t="shared" si="50"/>
        <v>0</v>
      </c>
      <c r="V168">
        <v>166</v>
      </c>
      <c r="W168">
        <f t="shared" si="41"/>
        <v>1660</v>
      </c>
      <c r="X168">
        <f t="shared" si="43"/>
        <v>1660</v>
      </c>
      <c r="Y168">
        <f t="shared" si="42"/>
        <v>60</v>
      </c>
      <c r="Z168" s="4">
        <f t="shared" si="52"/>
        <v>2666666.6666666665</v>
      </c>
      <c r="AA168" s="3">
        <f t="shared" si="52"/>
        <v>60</v>
      </c>
      <c r="AB168" t="str">
        <f t="shared" si="44"/>
        <v>28B0AA</v>
      </c>
    </row>
    <row r="169" spans="14:28">
      <c r="N169">
        <v>167</v>
      </c>
      <c r="O169">
        <f t="shared" si="45"/>
        <v>1670</v>
      </c>
      <c r="P169">
        <f t="shared" si="46"/>
        <v>1670</v>
      </c>
      <c r="Q169">
        <f t="shared" si="47"/>
        <v>0</v>
      </c>
      <c r="R169" s="4">
        <f t="shared" si="48"/>
        <v>0</v>
      </c>
      <c r="S169" s="3">
        <f t="shared" si="49"/>
        <v>0</v>
      </c>
      <c r="T169" t="str">
        <f t="shared" si="50"/>
        <v>0</v>
      </c>
      <c r="V169">
        <v>167</v>
      </c>
      <c r="W169">
        <f t="shared" si="41"/>
        <v>1670</v>
      </c>
      <c r="X169">
        <f t="shared" si="43"/>
        <v>1670</v>
      </c>
      <c r="Y169">
        <f t="shared" si="42"/>
        <v>60</v>
      </c>
      <c r="Z169" s="4">
        <f t="shared" si="52"/>
        <v>2666666.6666666665</v>
      </c>
      <c r="AA169" s="3">
        <f t="shared" si="52"/>
        <v>60</v>
      </c>
      <c r="AB169" t="str">
        <f t="shared" si="44"/>
        <v>28B0AA</v>
      </c>
    </row>
    <row r="170" spans="14:28">
      <c r="N170">
        <v>168</v>
      </c>
      <c r="O170">
        <f t="shared" si="45"/>
        <v>1680</v>
      </c>
      <c r="P170">
        <f t="shared" si="46"/>
        <v>1680</v>
      </c>
      <c r="Q170">
        <f t="shared" si="47"/>
        <v>0</v>
      </c>
      <c r="R170" s="4">
        <f t="shared" si="48"/>
        <v>0</v>
      </c>
      <c r="S170" s="3">
        <f t="shared" si="49"/>
        <v>0</v>
      </c>
      <c r="T170" t="str">
        <f t="shared" si="50"/>
        <v>0</v>
      </c>
      <c r="V170">
        <v>168</v>
      </c>
      <c r="W170">
        <f t="shared" si="41"/>
        <v>1680</v>
      </c>
      <c r="X170">
        <f t="shared" si="43"/>
        <v>1680</v>
      </c>
      <c r="Y170">
        <f t="shared" si="42"/>
        <v>60</v>
      </c>
      <c r="Z170" s="4">
        <f t="shared" si="52"/>
        <v>2666666.6666666665</v>
      </c>
      <c r="AA170" s="3">
        <f t="shared" si="52"/>
        <v>60</v>
      </c>
      <c r="AB170" t="str">
        <f t="shared" si="44"/>
        <v>28B0AA</v>
      </c>
    </row>
    <row r="171" spans="14:28">
      <c r="N171">
        <v>169</v>
      </c>
      <c r="O171">
        <f t="shared" si="45"/>
        <v>1690</v>
      </c>
      <c r="P171">
        <f t="shared" si="46"/>
        <v>1690</v>
      </c>
      <c r="Q171">
        <f t="shared" si="47"/>
        <v>0</v>
      </c>
      <c r="R171" s="4">
        <f t="shared" si="48"/>
        <v>0</v>
      </c>
      <c r="S171" s="3">
        <f t="shared" si="49"/>
        <v>0</v>
      </c>
      <c r="T171" t="str">
        <f t="shared" si="50"/>
        <v>0</v>
      </c>
      <c r="V171">
        <v>169</v>
      </c>
      <c r="W171">
        <f t="shared" si="41"/>
        <v>1690</v>
      </c>
      <c r="X171">
        <f t="shared" si="43"/>
        <v>1690</v>
      </c>
      <c r="Y171">
        <f t="shared" si="42"/>
        <v>60</v>
      </c>
      <c r="Z171" s="4">
        <f t="shared" si="52"/>
        <v>2666666.6666666665</v>
      </c>
      <c r="AA171" s="3">
        <f t="shared" si="52"/>
        <v>60</v>
      </c>
      <c r="AB171" t="str">
        <f t="shared" si="44"/>
        <v>28B0AA</v>
      </c>
    </row>
    <row r="172" spans="14:28">
      <c r="N172">
        <v>170</v>
      </c>
      <c r="O172">
        <f t="shared" si="45"/>
        <v>1700</v>
      </c>
      <c r="P172">
        <f t="shared" si="46"/>
        <v>1700</v>
      </c>
      <c r="Q172">
        <f t="shared" si="47"/>
        <v>0</v>
      </c>
      <c r="R172" s="4">
        <f t="shared" si="48"/>
        <v>0</v>
      </c>
      <c r="S172" s="3">
        <f t="shared" si="49"/>
        <v>0</v>
      </c>
      <c r="T172" t="str">
        <f t="shared" si="50"/>
        <v>0</v>
      </c>
      <c r="V172">
        <v>170</v>
      </c>
      <c r="W172">
        <f t="shared" si="41"/>
        <v>1700</v>
      </c>
      <c r="X172">
        <f t="shared" si="43"/>
        <v>1700</v>
      </c>
      <c r="Y172">
        <f t="shared" si="42"/>
        <v>60</v>
      </c>
      <c r="Z172" s="4">
        <f t="shared" si="52"/>
        <v>2666666.6666666665</v>
      </c>
      <c r="AA172" s="3">
        <f t="shared" si="52"/>
        <v>60</v>
      </c>
      <c r="AB172" t="str">
        <f t="shared" si="44"/>
        <v>28B0AA</v>
      </c>
    </row>
    <row r="173" spans="14:28">
      <c r="N173">
        <v>171</v>
      </c>
      <c r="O173">
        <f t="shared" si="45"/>
        <v>1710</v>
      </c>
      <c r="P173">
        <f t="shared" si="46"/>
        <v>1710</v>
      </c>
      <c r="Q173">
        <f t="shared" si="47"/>
        <v>0</v>
      </c>
      <c r="R173" s="4">
        <f t="shared" si="48"/>
        <v>0</v>
      </c>
      <c r="S173" s="3">
        <f t="shared" si="49"/>
        <v>0</v>
      </c>
      <c r="T173" t="str">
        <f t="shared" si="50"/>
        <v>0</v>
      </c>
      <c r="V173">
        <v>171</v>
      </c>
      <c r="W173">
        <f t="shared" si="41"/>
        <v>1710</v>
      </c>
      <c r="X173">
        <f t="shared" si="43"/>
        <v>1710</v>
      </c>
      <c r="Y173">
        <f t="shared" si="42"/>
        <v>58.166666666666664</v>
      </c>
      <c r="Z173" s="4">
        <f t="shared" si="52"/>
        <v>2750716.3323782235</v>
      </c>
      <c r="AA173" s="3">
        <f t="shared" si="52"/>
        <v>58.166666666666664</v>
      </c>
      <c r="AB173" t="str">
        <f t="shared" si="44"/>
        <v>29F8FC</v>
      </c>
    </row>
    <row r="174" spans="14:28">
      <c r="N174">
        <v>172</v>
      </c>
      <c r="O174">
        <f t="shared" si="45"/>
        <v>1720</v>
      </c>
      <c r="P174">
        <f t="shared" si="46"/>
        <v>1720</v>
      </c>
      <c r="Q174">
        <f t="shared" si="47"/>
        <v>0</v>
      </c>
      <c r="R174" s="4">
        <f t="shared" si="48"/>
        <v>0</v>
      </c>
      <c r="S174" s="3">
        <f t="shared" si="49"/>
        <v>0</v>
      </c>
      <c r="T174" t="str">
        <f t="shared" si="50"/>
        <v>0</v>
      </c>
      <c r="V174">
        <v>172</v>
      </c>
      <c r="W174">
        <f t="shared" si="41"/>
        <v>1720</v>
      </c>
      <c r="X174">
        <f t="shared" si="43"/>
        <v>1720</v>
      </c>
      <c r="Y174">
        <f t="shared" si="42"/>
        <v>56.333333333333336</v>
      </c>
      <c r="Z174" s="4">
        <f t="shared" si="52"/>
        <v>2840236.6863905326</v>
      </c>
      <c r="AA174" s="3">
        <f t="shared" si="52"/>
        <v>56.333333333333329</v>
      </c>
      <c r="AB174" t="str">
        <f t="shared" si="44"/>
        <v>2B56AC</v>
      </c>
    </row>
    <row r="175" spans="14:28">
      <c r="N175">
        <v>173</v>
      </c>
      <c r="O175">
        <f t="shared" si="45"/>
        <v>1730</v>
      </c>
      <c r="P175">
        <f t="shared" si="46"/>
        <v>1730</v>
      </c>
      <c r="Q175">
        <f t="shared" si="47"/>
        <v>0</v>
      </c>
      <c r="R175" s="4">
        <f t="shared" si="48"/>
        <v>0</v>
      </c>
      <c r="S175" s="3">
        <f t="shared" si="49"/>
        <v>0</v>
      </c>
      <c r="T175" t="str">
        <f t="shared" si="50"/>
        <v>0</v>
      </c>
      <c r="V175">
        <v>173</v>
      </c>
      <c r="W175">
        <f t="shared" si="41"/>
        <v>1730</v>
      </c>
      <c r="X175">
        <f t="shared" si="43"/>
        <v>1730</v>
      </c>
      <c r="Y175">
        <f t="shared" si="42"/>
        <v>54.5</v>
      </c>
      <c r="Z175" s="4">
        <f t="shared" si="52"/>
        <v>2935779.8165137614</v>
      </c>
      <c r="AA175" s="3">
        <f t="shared" si="52"/>
        <v>54.5</v>
      </c>
      <c r="AB175" t="str">
        <f t="shared" si="44"/>
        <v>2CCBE3</v>
      </c>
    </row>
    <row r="176" spans="14:28">
      <c r="N176">
        <v>174</v>
      </c>
      <c r="O176">
        <f t="shared" si="45"/>
        <v>1740</v>
      </c>
      <c r="P176">
        <f t="shared" si="46"/>
        <v>1740</v>
      </c>
      <c r="Q176">
        <f t="shared" si="47"/>
        <v>0</v>
      </c>
      <c r="R176" s="4">
        <f t="shared" si="48"/>
        <v>0</v>
      </c>
      <c r="S176" s="3">
        <f t="shared" si="49"/>
        <v>0</v>
      </c>
      <c r="T176" t="str">
        <f t="shared" si="50"/>
        <v>0</v>
      </c>
      <c r="V176">
        <v>174</v>
      </c>
      <c r="W176">
        <f t="shared" si="41"/>
        <v>1740</v>
      </c>
      <c r="X176">
        <f t="shared" si="43"/>
        <v>1740</v>
      </c>
      <c r="Y176">
        <f t="shared" si="42"/>
        <v>52.666666666666671</v>
      </c>
      <c r="Z176" s="4">
        <f t="shared" si="52"/>
        <v>3037974.6835443038</v>
      </c>
      <c r="AA176" s="3">
        <f t="shared" si="52"/>
        <v>52.666666666666664</v>
      </c>
      <c r="AB176" t="str">
        <f t="shared" si="44"/>
        <v>2E5B16</v>
      </c>
    </row>
    <row r="177" spans="14:28">
      <c r="N177">
        <v>175</v>
      </c>
      <c r="O177">
        <f t="shared" si="45"/>
        <v>1750</v>
      </c>
      <c r="P177">
        <f t="shared" si="46"/>
        <v>1750</v>
      </c>
      <c r="Q177">
        <f t="shared" si="47"/>
        <v>0</v>
      </c>
      <c r="R177" s="4">
        <f t="shared" si="48"/>
        <v>0</v>
      </c>
      <c r="S177" s="3">
        <f t="shared" si="49"/>
        <v>0</v>
      </c>
      <c r="T177" t="str">
        <f t="shared" si="50"/>
        <v>0</v>
      </c>
      <c r="V177">
        <v>175</v>
      </c>
      <c r="W177">
        <f t="shared" si="41"/>
        <v>1750</v>
      </c>
      <c r="X177">
        <f t="shared" si="43"/>
        <v>1750</v>
      </c>
      <c r="Y177">
        <f t="shared" si="42"/>
        <v>50.833333333333336</v>
      </c>
      <c r="Z177" s="4">
        <f t="shared" si="52"/>
        <v>3147540.9836065574</v>
      </c>
      <c r="AA177" s="3">
        <f t="shared" si="52"/>
        <v>50.833333333333336</v>
      </c>
      <c r="AB177" t="str">
        <f t="shared" si="44"/>
        <v>300714</v>
      </c>
    </row>
    <row r="178" spans="14:28">
      <c r="N178">
        <v>176</v>
      </c>
      <c r="O178">
        <f t="shared" si="45"/>
        <v>1760</v>
      </c>
      <c r="P178">
        <f t="shared" si="46"/>
        <v>1760</v>
      </c>
      <c r="Q178">
        <f t="shared" si="47"/>
        <v>0</v>
      </c>
      <c r="R178" s="4">
        <f t="shared" si="48"/>
        <v>0</v>
      </c>
      <c r="S178" s="3">
        <f t="shared" si="49"/>
        <v>0</v>
      </c>
      <c r="T178" t="str">
        <f t="shared" si="50"/>
        <v>0</v>
      </c>
      <c r="V178">
        <v>176</v>
      </c>
      <c r="W178">
        <f t="shared" si="41"/>
        <v>1760</v>
      </c>
      <c r="X178">
        <f t="shared" si="43"/>
        <v>1760</v>
      </c>
      <c r="Y178">
        <f t="shared" si="42"/>
        <v>49</v>
      </c>
      <c r="Z178" s="4">
        <f t="shared" si="52"/>
        <v>3265306.1224489794</v>
      </c>
      <c r="AA178" s="3">
        <f t="shared" si="52"/>
        <v>49</v>
      </c>
      <c r="AB178" t="str">
        <f t="shared" si="44"/>
        <v>31D31A</v>
      </c>
    </row>
    <row r="179" spans="14:28">
      <c r="N179">
        <v>177</v>
      </c>
      <c r="O179">
        <f t="shared" si="45"/>
        <v>1770</v>
      </c>
      <c r="P179">
        <f t="shared" si="46"/>
        <v>1770</v>
      </c>
      <c r="Q179">
        <f t="shared" si="47"/>
        <v>0</v>
      </c>
      <c r="R179" s="4">
        <f t="shared" si="48"/>
        <v>0</v>
      </c>
      <c r="S179" s="3">
        <f t="shared" si="49"/>
        <v>0</v>
      </c>
      <c r="T179" t="str">
        <f t="shared" si="50"/>
        <v>0</v>
      </c>
      <c r="V179">
        <v>177</v>
      </c>
      <c r="W179">
        <f t="shared" si="41"/>
        <v>1770</v>
      </c>
      <c r="X179">
        <f t="shared" si="43"/>
        <v>1770</v>
      </c>
      <c r="Y179">
        <f t="shared" si="42"/>
        <v>47.166666666666671</v>
      </c>
      <c r="Z179" s="4">
        <f t="shared" ref="Z179:AA198" si="53">IFERROR(160*1000*1000/Y179,0)</f>
        <v>3392226.1484098937</v>
      </c>
      <c r="AA179" s="3">
        <f t="shared" si="53"/>
        <v>47.166666666666671</v>
      </c>
      <c r="AB179" t="str">
        <f t="shared" si="44"/>
        <v>33C2E2</v>
      </c>
    </row>
    <row r="180" spans="14:28">
      <c r="N180">
        <v>178</v>
      </c>
      <c r="O180">
        <f t="shared" si="45"/>
        <v>1780</v>
      </c>
      <c r="P180">
        <f t="shared" si="46"/>
        <v>1780</v>
      </c>
      <c r="Q180">
        <f t="shared" si="47"/>
        <v>0</v>
      </c>
      <c r="R180" s="4">
        <f t="shared" si="48"/>
        <v>0</v>
      </c>
      <c r="S180" s="3">
        <f t="shared" si="49"/>
        <v>0</v>
      </c>
      <c r="T180" t="str">
        <f t="shared" si="50"/>
        <v>0</v>
      </c>
      <c r="V180">
        <v>178</v>
      </c>
      <c r="W180">
        <f t="shared" si="41"/>
        <v>1780</v>
      </c>
      <c r="X180">
        <f t="shared" si="43"/>
        <v>1780</v>
      </c>
      <c r="Y180">
        <f t="shared" si="42"/>
        <v>45.333333333333329</v>
      </c>
      <c r="Z180" s="4">
        <f t="shared" si="53"/>
        <v>3529411.7647058829</v>
      </c>
      <c r="AA180" s="3">
        <f t="shared" si="53"/>
        <v>45.333333333333329</v>
      </c>
      <c r="AB180" t="str">
        <f t="shared" si="44"/>
        <v>35DAC3</v>
      </c>
    </row>
    <row r="181" spans="14:28">
      <c r="N181">
        <v>179</v>
      </c>
      <c r="O181">
        <f t="shared" si="45"/>
        <v>1790</v>
      </c>
      <c r="P181">
        <f t="shared" si="46"/>
        <v>1790</v>
      </c>
      <c r="Q181">
        <f t="shared" si="47"/>
        <v>0</v>
      </c>
      <c r="R181" s="4">
        <f t="shared" si="48"/>
        <v>0</v>
      </c>
      <c r="S181" s="3">
        <f t="shared" si="49"/>
        <v>0</v>
      </c>
      <c r="T181" t="str">
        <f t="shared" si="50"/>
        <v>0</v>
      </c>
      <c r="V181">
        <v>179</v>
      </c>
      <c r="W181">
        <f t="shared" si="41"/>
        <v>1790</v>
      </c>
      <c r="X181">
        <f t="shared" si="43"/>
        <v>1790</v>
      </c>
      <c r="Y181">
        <f t="shared" si="42"/>
        <v>43.5</v>
      </c>
      <c r="Z181" s="4">
        <f t="shared" si="53"/>
        <v>3678160.9195402297</v>
      </c>
      <c r="AA181" s="3">
        <f t="shared" si="53"/>
        <v>43.5</v>
      </c>
      <c r="AB181" t="str">
        <f t="shared" si="44"/>
        <v>381FD0</v>
      </c>
    </row>
    <row r="182" spans="14:28">
      <c r="N182">
        <v>180</v>
      </c>
      <c r="O182">
        <f t="shared" si="45"/>
        <v>1800</v>
      </c>
      <c r="P182">
        <f t="shared" si="46"/>
        <v>1800</v>
      </c>
      <c r="Q182">
        <f t="shared" si="47"/>
        <v>0</v>
      </c>
      <c r="R182" s="4">
        <f t="shared" si="48"/>
        <v>0</v>
      </c>
      <c r="S182" s="3">
        <f t="shared" si="49"/>
        <v>0</v>
      </c>
      <c r="T182" t="str">
        <f t="shared" si="50"/>
        <v>0</v>
      </c>
      <c r="V182">
        <v>180</v>
      </c>
      <c r="W182">
        <f t="shared" si="41"/>
        <v>1800</v>
      </c>
      <c r="X182">
        <f t="shared" si="43"/>
        <v>1800</v>
      </c>
      <c r="Y182">
        <f t="shared" si="42"/>
        <v>41.666666666666664</v>
      </c>
      <c r="Z182" s="4">
        <f t="shared" si="53"/>
        <v>3840000</v>
      </c>
      <c r="AA182" s="3">
        <f t="shared" si="53"/>
        <v>41.666666666666664</v>
      </c>
      <c r="AB182" t="str">
        <f t="shared" si="44"/>
        <v>3A9800</v>
      </c>
    </row>
    <row r="183" spans="14:28">
      <c r="N183">
        <v>181</v>
      </c>
      <c r="O183">
        <f t="shared" si="45"/>
        <v>1810</v>
      </c>
      <c r="P183">
        <f t="shared" si="46"/>
        <v>1810</v>
      </c>
      <c r="Q183">
        <f t="shared" si="47"/>
        <v>0</v>
      </c>
      <c r="R183" s="4">
        <f t="shared" si="48"/>
        <v>0</v>
      </c>
      <c r="S183" s="3">
        <f t="shared" si="49"/>
        <v>0</v>
      </c>
      <c r="T183" t="str">
        <f t="shared" si="50"/>
        <v>0</v>
      </c>
      <c r="V183">
        <v>181</v>
      </c>
      <c r="W183">
        <f t="shared" si="41"/>
        <v>1810</v>
      </c>
      <c r="X183">
        <f t="shared" si="43"/>
        <v>1810</v>
      </c>
      <c r="Y183">
        <f t="shared" si="42"/>
        <v>39.833333333333329</v>
      </c>
      <c r="Z183" s="4">
        <f t="shared" si="53"/>
        <v>4016736.4016736406</v>
      </c>
      <c r="AA183" s="3">
        <f t="shared" si="53"/>
        <v>39.833333333333329</v>
      </c>
      <c r="AB183" t="str">
        <f t="shared" si="44"/>
        <v>3D4A60</v>
      </c>
    </row>
    <row r="184" spans="14:28">
      <c r="N184">
        <v>182</v>
      </c>
      <c r="O184">
        <f t="shared" si="45"/>
        <v>1820</v>
      </c>
      <c r="P184">
        <f t="shared" si="46"/>
        <v>1820</v>
      </c>
      <c r="Q184">
        <f t="shared" si="47"/>
        <v>0</v>
      </c>
      <c r="R184" s="4">
        <f t="shared" si="48"/>
        <v>0</v>
      </c>
      <c r="S184" s="3">
        <f t="shared" si="49"/>
        <v>0</v>
      </c>
      <c r="T184" t="str">
        <f t="shared" si="50"/>
        <v>0</v>
      </c>
      <c r="V184">
        <v>182</v>
      </c>
      <c r="W184">
        <f t="shared" si="41"/>
        <v>1820</v>
      </c>
      <c r="X184">
        <f t="shared" si="43"/>
        <v>1820</v>
      </c>
      <c r="Y184">
        <f t="shared" si="42"/>
        <v>38</v>
      </c>
      <c r="Z184" s="4">
        <f t="shared" si="53"/>
        <v>4210526.3157894732</v>
      </c>
      <c r="AA184" s="3">
        <f t="shared" si="53"/>
        <v>38.000000000000007</v>
      </c>
      <c r="AB184" t="str">
        <f t="shared" si="44"/>
        <v>403F5E</v>
      </c>
    </row>
    <row r="185" spans="14:28">
      <c r="N185">
        <v>183</v>
      </c>
      <c r="O185">
        <f t="shared" si="45"/>
        <v>1830</v>
      </c>
      <c r="P185">
        <f t="shared" si="46"/>
        <v>1830</v>
      </c>
      <c r="Q185">
        <f t="shared" si="47"/>
        <v>0</v>
      </c>
      <c r="R185" s="4">
        <f t="shared" si="48"/>
        <v>0</v>
      </c>
      <c r="S185" s="3">
        <f t="shared" si="49"/>
        <v>0</v>
      </c>
      <c r="T185" t="str">
        <f t="shared" si="50"/>
        <v>0</v>
      </c>
      <c r="V185">
        <v>183</v>
      </c>
      <c r="W185">
        <f t="shared" si="41"/>
        <v>1830</v>
      </c>
      <c r="X185">
        <f t="shared" si="43"/>
        <v>1830</v>
      </c>
      <c r="Y185">
        <f t="shared" si="42"/>
        <v>36.166666666666664</v>
      </c>
      <c r="Z185" s="4">
        <f t="shared" si="53"/>
        <v>4423963.1336405529</v>
      </c>
      <c r="AA185" s="3">
        <f t="shared" si="53"/>
        <v>36.166666666666664</v>
      </c>
      <c r="AB185" t="str">
        <f t="shared" si="44"/>
        <v>43811B</v>
      </c>
    </row>
    <row r="186" spans="14:28">
      <c r="N186">
        <v>184</v>
      </c>
      <c r="O186">
        <f t="shared" si="45"/>
        <v>1840</v>
      </c>
      <c r="P186">
        <f t="shared" si="46"/>
        <v>1840</v>
      </c>
      <c r="Q186">
        <f t="shared" si="47"/>
        <v>0</v>
      </c>
      <c r="R186" s="4">
        <f t="shared" si="48"/>
        <v>0</v>
      </c>
      <c r="S186" s="3">
        <f t="shared" si="49"/>
        <v>0</v>
      </c>
      <c r="T186" t="str">
        <f t="shared" si="50"/>
        <v>0</v>
      </c>
      <c r="V186">
        <v>184</v>
      </c>
      <c r="W186">
        <f t="shared" si="41"/>
        <v>1840</v>
      </c>
      <c r="X186">
        <f t="shared" si="43"/>
        <v>1840</v>
      </c>
      <c r="Y186">
        <f t="shared" si="42"/>
        <v>34.333333333333329</v>
      </c>
      <c r="Z186" s="4">
        <f t="shared" si="53"/>
        <v>4660194.1747572822</v>
      </c>
      <c r="AA186" s="3">
        <f t="shared" si="53"/>
        <v>34.333333333333329</v>
      </c>
      <c r="AB186" t="str">
        <f t="shared" si="44"/>
        <v>471BE2</v>
      </c>
    </row>
    <row r="187" spans="14:28">
      <c r="N187">
        <v>185</v>
      </c>
      <c r="O187">
        <f t="shared" si="45"/>
        <v>1850</v>
      </c>
      <c r="P187">
        <f t="shared" si="46"/>
        <v>1850</v>
      </c>
      <c r="Q187">
        <f t="shared" si="47"/>
        <v>0</v>
      </c>
      <c r="R187" s="4">
        <f t="shared" si="48"/>
        <v>0</v>
      </c>
      <c r="S187" s="3">
        <f t="shared" si="49"/>
        <v>0</v>
      </c>
      <c r="T187" t="str">
        <f t="shared" si="50"/>
        <v>0</v>
      </c>
      <c r="V187">
        <v>185</v>
      </c>
      <c r="W187">
        <f t="shared" si="41"/>
        <v>1850</v>
      </c>
      <c r="X187">
        <f t="shared" si="43"/>
        <v>1850</v>
      </c>
      <c r="Y187">
        <f t="shared" si="42"/>
        <v>32.5</v>
      </c>
      <c r="Z187" s="4">
        <f t="shared" si="53"/>
        <v>4923076.923076923</v>
      </c>
      <c r="AA187" s="3">
        <f t="shared" si="53"/>
        <v>32.5</v>
      </c>
      <c r="AB187" t="str">
        <f t="shared" si="44"/>
        <v>4B1EC4</v>
      </c>
    </row>
    <row r="188" spans="14:28">
      <c r="N188">
        <v>186</v>
      </c>
      <c r="O188">
        <f t="shared" si="45"/>
        <v>1860</v>
      </c>
      <c r="P188">
        <f t="shared" si="46"/>
        <v>1860</v>
      </c>
      <c r="Q188">
        <f t="shared" si="47"/>
        <v>0</v>
      </c>
      <c r="R188" s="4">
        <f t="shared" si="48"/>
        <v>0</v>
      </c>
      <c r="S188" s="3">
        <f t="shared" si="49"/>
        <v>0</v>
      </c>
      <c r="T188" t="str">
        <f t="shared" si="50"/>
        <v>0</v>
      </c>
      <c r="V188">
        <v>186</v>
      </c>
      <c r="W188">
        <f t="shared" si="41"/>
        <v>1860</v>
      </c>
      <c r="X188">
        <f t="shared" si="43"/>
        <v>1860</v>
      </c>
      <c r="Y188">
        <f t="shared" si="42"/>
        <v>30.666666666666668</v>
      </c>
      <c r="Z188" s="4">
        <f t="shared" si="53"/>
        <v>5217391.3043478262</v>
      </c>
      <c r="AA188" s="3">
        <f t="shared" si="53"/>
        <v>30.666666666666668</v>
      </c>
      <c r="AB188" t="str">
        <f t="shared" si="44"/>
        <v>4F9C6F</v>
      </c>
    </row>
    <row r="189" spans="14:28">
      <c r="N189">
        <v>187</v>
      </c>
      <c r="O189">
        <f t="shared" si="45"/>
        <v>1870</v>
      </c>
      <c r="P189">
        <f t="shared" si="46"/>
        <v>1870</v>
      </c>
      <c r="Q189">
        <f t="shared" si="47"/>
        <v>0</v>
      </c>
      <c r="R189" s="4">
        <f t="shared" si="48"/>
        <v>0</v>
      </c>
      <c r="S189" s="3">
        <f t="shared" si="49"/>
        <v>0</v>
      </c>
      <c r="T189" t="str">
        <f t="shared" si="50"/>
        <v>0</v>
      </c>
      <c r="V189">
        <v>187</v>
      </c>
      <c r="W189">
        <f t="shared" si="41"/>
        <v>1870</v>
      </c>
      <c r="X189">
        <f t="shared" si="43"/>
        <v>1870</v>
      </c>
      <c r="Y189">
        <f t="shared" si="42"/>
        <v>28.833333333333336</v>
      </c>
      <c r="Z189" s="4">
        <f t="shared" si="53"/>
        <v>5549132.9479768779</v>
      </c>
      <c r="AA189" s="3">
        <f t="shared" si="53"/>
        <v>28.833333333333336</v>
      </c>
      <c r="AB189" t="str">
        <f t="shared" si="44"/>
        <v>54AC4C</v>
      </c>
    </row>
    <row r="190" spans="14:28">
      <c r="N190">
        <v>188</v>
      </c>
      <c r="O190">
        <f t="shared" si="45"/>
        <v>1880</v>
      </c>
      <c r="P190">
        <f t="shared" si="46"/>
        <v>1880</v>
      </c>
      <c r="Q190">
        <f t="shared" si="47"/>
        <v>0</v>
      </c>
      <c r="R190" s="4">
        <f t="shared" si="48"/>
        <v>0</v>
      </c>
      <c r="S190" s="3">
        <f t="shared" si="49"/>
        <v>0</v>
      </c>
      <c r="T190" t="str">
        <f t="shared" si="50"/>
        <v>0</v>
      </c>
      <c r="V190">
        <v>188</v>
      </c>
      <c r="W190">
        <f t="shared" si="41"/>
        <v>1880</v>
      </c>
      <c r="X190">
        <f t="shared" si="43"/>
        <v>1880</v>
      </c>
      <c r="Y190">
        <f t="shared" si="42"/>
        <v>27</v>
      </c>
      <c r="Z190" s="4">
        <f t="shared" si="53"/>
        <v>5925925.9259259263</v>
      </c>
      <c r="AA190" s="3">
        <f t="shared" si="53"/>
        <v>27</v>
      </c>
      <c r="AB190" t="str">
        <f t="shared" si="44"/>
        <v>5A6C25</v>
      </c>
    </row>
    <row r="191" spans="14:28">
      <c r="N191">
        <v>189</v>
      </c>
      <c r="O191">
        <f t="shared" si="45"/>
        <v>1890</v>
      </c>
      <c r="P191">
        <f t="shared" si="46"/>
        <v>1890</v>
      </c>
      <c r="Q191">
        <f t="shared" si="47"/>
        <v>0</v>
      </c>
      <c r="R191" s="4">
        <f t="shared" si="48"/>
        <v>0</v>
      </c>
      <c r="S191" s="3">
        <f t="shared" si="49"/>
        <v>0</v>
      </c>
      <c r="T191" t="str">
        <f t="shared" si="50"/>
        <v>0</v>
      </c>
      <c r="V191">
        <v>189</v>
      </c>
      <c r="W191">
        <f t="shared" ref="W191:W254" si="54">MOD(X191,$A$14+$A$15)</f>
        <v>1890</v>
      </c>
      <c r="X191">
        <f t="shared" si="43"/>
        <v>1890</v>
      </c>
      <c r="Y191">
        <f t="shared" ref="Y191:Y254" si="55">IF(W191&gt;$A$14,0,IF(W191&lt;$A$13,W191/($A$13)*($A$11-$A$12)+$A$12,IF($A$14-W191&lt;$A$13,($A$14-W191)/($A$13)*($A$11-$A$12)+$A$12,$A$11)))</f>
        <v>25.166666666666664</v>
      </c>
      <c r="Z191" s="4">
        <f t="shared" si="53"/>
        <v>6357615.8940397361</v>
      </c>
      <c r="AA191" s="3">
        <f t="shared" si="53"/>
        <v>25.166666666666664</v>
      </c>
      <c r="AB191" t="str">
        <f t="shared" si="44"/>
        <v>61026F</v>
      </c>
    </row>
    <row r="192" spans="14:28">
      <c r="N192">
        <v>190</v>
      </c>
      <c r="O192">
        <f t="shared" si="45"/>
        <v>1900</v>
      </c>
      <c r="P192">
        <f t="shared" si="46"/>
        <v>1900</v>
      </c>
      <c r="Q192">
        <f t="shared" si="47"/>
        <v>0</v>
      </c>
      <c r="R192" s="4">
        <f t="shared" si="48"/>
        <v>0</v>
      </c>
      <c r="S192" s="3">
        <f t="shared" si="49"/>
        <v>0</v>
      </c>
      <c r="T192" t="str">
        <f t="shared" si="50"/>
        <v>0</v>
      </c>
      <c r="V192">
        <v>190</v>
      </c>
      <c r="W192">
        <f t="shared" si="54"/>
        <v>1900</v>
      </c>
      <c r="X192">
        <f t="shared" ref="X192:X255" si="56">V192*10</f>
        <v>1900</v>
      </c>
      <c r="Y192">
        <f t="shared" si="55"/>
        <v>23.333333333333332</v>
      </c>
      <c r="Z192" s="4">
        <f t="shared" si="53"/>
        <v>6857142.8571428573</v>
      </c>
      <c r="AA192" s="3">
        <f t="shared" si="53"/>
        <v>23.333333333333332</v>
      </c>
      <c r="AB192" t="str">
        <f t="shared" si="44"/>
        <v>68A1B6</v>
      </c>
    </row>
    <row r="193" spans="14:28">
      <c r="N193">
        <v>191</v>
      </c>
      <c r="O193">
        <f t="shared" si="45"/>
        <v>1910</v>
      </c>
      <c r="P193">
        <f t="shared" si="46"/>
        <v>1910</v>
      </c>
      <c r="Q193">
        <f t="shared" si="47"/>
        <v>0</v>
      </c>
      <c r="R193" s="4">
        <f t="shared" si="48"/>
        <v>0</v>
      </c>
      <c r="S193" s="3">
        <f t="shared" si="49"/>
        <v>0</v>
      </c>
      <c r="T193" t="str">
        <f t="shared" si="50"/>
        <v>0</v>
      </c>
      <c r="V193">
        <v>191</v>
      </c>
      <c r="W193">
        <f t="shared" si="54"/>
        <v>1910</v>
      </c>
      <c r="X193">
        <f t="shared" si="56"/>
        <v>1910</v>
      </c>
      <c r="Y193">
        <f t="shared" si="55"/>
        <v>21.5</v>
      </c>
      <c r="Z193" s="4">
        <f t="shared" si="53"/>
        <v>7441860.4651162792</v>
      </c>
      <c r="AA193" s="3">
        <f t="shared" si="53"/>
        <v>21.5</v>
      </c>
      <c r="AB193" t="str">
        <f t="shared" si="44"/>
        <v>718DC4</v>
      </c>
    </row>
    <row r="194" spans="14:28">
      <c r="N194">
        <v>192</v>
      </c>
      <c r="O194">
        <f t="shared" si="45"/>
        <v>1920</v>
      </c>
      <c r="P194">
        <f t="shared" si="46"/>
        <v>1920</v>
      </c>
      <c r="Q194">
        <f t="shared" si="47"/>
        <v>0</v>
      </c>
      <c r="R194" s="4">
        <f t="shared" si="48"/>
        <v>0</v>
      </c>
      <c r="S194" s="3">
        <f t="shared" si="49"/>
        <v>0</v>
      </c>
      <c r="T194" t="str">
        <f t="shared" si="50"/>
        <v>0</v>
      </c>
      <c r="V194">
        <v>192</v>
      </c>
      <c r="W194">
        <f t="shared" si="54"/>
        <v>1920</v>
      </c>
      <c r="X194">
        <f t="shared" si="56"/>
        <v>1920</v>
      </c>
      <c r="Y194">
        <f t="shared" si="55"/>
        <v>19.666666666666664</v>
      </c>
      <c r="Z194" s="4">
        <f t="shared" si="53"/>
        <v>8135593.2203389844</v>
      </c>
      <c r="AA194" s="3">
        <f t="shared" si="53"/>
        <v>19.666666666666664</v>
      </c>
      <c r="AB194" t="str">
        <f t="shared" ref="AB194:AB225" si="57">DEC2HEX(Z194)</f>
        <v>7C23A9</v>
      </c>
    </row>
    <row r="195" spans="14:28">
      <c r="N195">
        <v>193</v>
      </c>
      <c r="O195">
        <f t="shared" ref="O195:O258" si="58">MOD(P195,$A$5+$A$6)</f>
        <v>1930</v>
      </c>
      <c r="P195">
        <f t="shared" si="46"/>
        <v>1930</v>
      </c>
      <c r="Q195">
        <f t="shared" si="47"/>
        <v>0</v>
      </c>
      <c r="R195" s="4">
        <f t="shared" si="48"/>
        <v>0</v>
      </c>
      <c r="S195" s="3">
        <f t="shared" si="49"/>
        <v>0</v>
      </c>
      <c r="T195" t="str">
        <f t="shared" si="50"/>
        <v>0</v>
      </c>
      <c r="V195">
        <v>193</v>
      </c>
      <c r="W195">
        <f t="shared" si="54"/>
        <v>1930</v>
      </c>
      <c r="X195">
        <f t="shared" si="56"/>
        <v>1930</v>
      </c>
      <c r="Y195">
        <f t="shared" si="55"/>
        <v>17.833333333333336</v>
      </c>
      <c r="Z195" s="4">
        <f t="shared" si="53"/>
        <v>8971962.616822429</v>
      </c>
      <c r="AA195" s="3">
        <f t="shared" si="53"/>
        <v>17.833333333333336</v>
      </c>
      <c r="AB195" t="str">
        <f t="shared" si="57"/>
        <v>88E6BA</v>
      </c>
    </row>
    <row r="196" spans="14:28">
      <c r="N196">
        <v>194</v>
      </c>
      <c r="O196">
        <f t="shared" si="58"/>
        <v>1940</v>
      </c>
      <c r="P196">
        <f t="shared" si="46"/>
        <v>1940</v>
      </c>
      <c r="Q196">
        <f t="shared" si="47"/>
        <v>0</v>
      </c>
      <c r="R196" s="4">
        <f t="shared" si="48"/>
        <v>0</v>
      </c>
      <c r="S196" s="3">
        <f t="shared" si="49"/>
        <v>0</v>
      </c>
      <c r="T196" t="str">
        <f t="shared" si="50"/>
        <v>0</v>
      </c>
      <c r="V196">
        <v>194</v>
      </c>
      <c r="W196">
        <f t="shared" si="54"/>
        <v>1940</v>
      </c>
      <c r="X196">
        <f t="shared" si="56"/>
        <v>1940</v>
      </c>
      <c r="Y196">
        <f t="shared" si="55"/>
        <v>16</v>
      </c>
      <c r="Z196" s="4">
        <f t="shared" si="53"/>
        <v>10000000</v>
      </c>
      <c r="AA196" s="3">
        <f t="shared" si="53"/>
        <v>16</v>
      </c>
      <c r="AB196" t="str">
        <f t="shared" si="57"/>
        <v>989680</v>
      </c>
    </row>
    <row r="197" spans="14:28">
      <c r="N197">
        <v>195</v>
      </c>
      <c r="O197">
        <f t="shared" si="58"/>
        <v>1950</v>
      </c>
      <c r="P197">
        <f t="shared" si="46"/>
        <v>1950</v>
      </c>
      <c r="Q197">
        <f t="shared" si="47"/>
        <v>0</v>
      </c>
      <c r="R197" s="4">
        <f t="shared" si="48"/>
        <v>0</v>
      </c>
      <c r="S197" s="3">
        <f t="shared" si="49"/>
        <v>0</v>
      </c>
      <c r="T197" t="str">
        <f t="shared" si="50"/>
        <v>0</v>
      </c>
      <c r="V197">
        <v>195</v>
      </c>
      <c r="W197">
        <f t="shared" si="54"/>
        <v>1950</v>
      </c>
      <c r="X197">
        <f t="shared" si="56"/>
        <v>1950</v>
      </c>
      <c r="Y197">
        <f t="shared" si="55"/>
        <v>14.166666666666666</v>
      </c>
      <c r="Z197" s="4">
        <f t="shared" si="53"/>
        <v>11294117.647058824</v>
      </c>
      <c r="AA197" s="3">
        <f t="shared" si="53"/>
        <v>14.166666666666666</v>
      </c>
      <c r="AB197" t="str">
        <f t="shared" si="57"/>
        <v>AC55A5</v>
      </c>
    </row>
    <row r="198" spans="14:28">
      <c r="N198">
        <v>196</v>
      </c>
      <c r="O198">
        <f t="shared" si="58"/>
        <v>1960</v>
      </c>
      <c r="P198">
        <f t="shared" si="46"/>
        <v>1960</v>
      </c>
      <c r="Q198">
        <f t="shared" si="47"/>
        <v>0</v>
      </c>
      <c r="R198" s="4">
        <f t="shared" si="48"/>
        <v>0</v>
      </c>
      <c r="S198" s="3">
        <f t="shared" si="49"/>
        <v>0</v>
      </c>
      <c r="T198" t="str">
        <f t="shared" si="50"/>
        <v>0</v>
      </c>
      <c r="V198">
        <v>196</v>
      </c>
      <c r="W198">
        <f t="shared" si="54"/>
        <v>1960</v>
      </c>
      <c r="X198">
        <f t="shared" si="56"/>
        <v>1960</v>
      </c>
      <c r="Y198">
        <f t="shared" si="55"/>
        <v>12.333333333333332</v>
      </c>
      <c r="Z198" s="4">
        <f t="shared" si="53"/>
        <v>12972972.972972974</v>
      </c>
      <c r="AA198" s="3">
        <f t="shared" si="53"/>
        <v>12.333333333333332</v>
      </c>
      <c r="AB198" t="str">
        <f t="shared" si="57"/>
        <v>C5F3AC</v>
      </c>
    </row>
    <row r="199" spans="14:28">
      <c r="N199">
        <v>197</v>
      </c>
      <c r="O199">
        <f t="shared" si="58"/>
        <v>1970</v>
      </c>
      <c r="P199">
        <f t="shared" si="46"/>
        <v>1970</v>
      </c>
      <c r="Q199">
        <f t="shared" si="47"/>
        <v>0</v>
      </c>
      <c r="R199" s="4">
        <f t="shared" si="48"/>
        <v>0</v>
      </c>
      <c r="S199" s="3">
        <f t="shared" si="49"/>
        <v>0</v>
      </c>
      <c r="T199" t="str">
        <f t="shared" si="50"/>
        <v>0</v>
      </c>
      <c r="V199">
        <v>197</v>
      </c>
      <c r="W199">
        <f t="shared" si="54"/>
        <v>1970</v>
      </c>
      <c r="X199">
        <f t="shared" si="56"/>
        <v>1970</v>
      </c>
      <c r="Y199">
        <f t="shared" si="55"/>
        <v>10.5</v>
      </c>
      <c r="Z199" s="4">
        <f t="shared" ref="Z199:AA218" si="59">IFERROR(160*1000*1000/Y199,0)</f>
        <v>15238095.238095239</v>
      </c>
      <c r="AA199" s="3">
        <f t="shared" si="59"/>
        <v>10.5</v>
      </c>
      <c r="AB199" t="str">
        <f t="shared" si="57"/>
        <v>E883CF</v>
      </c>
    </row>
    <row r="200" spans="14:28">
      <c r="N200">
        <v>198</v>
      </c>
      <c r="O200">
        <f t="shared" si="58"/>
        <v>1980</v>
      </c>
      <c r="P200">
        <f t="shared" si="46"/>
        <v>1980</v>
      </c>
      <c r="Q200">
        <f t="shared" si="47"/>
        <v>0</v>
      </c>
      <c r="R200" s="4">
        <f t="shared" si="48"/>
        <v>0</v>
      </c>
      <c r="S200" s="3">
        <f t="shared" si="49"/>
        <v>0</v>
      </c>
      <c r="T200" t="str">
        <f t="shared" si="50"/>
        <v>0</v>
      </c>
      <c r="V200">
        <v>198</v>
      </c>
      <c r="W200">
        <f t="shared" si="54"/>
        <v>1980</v>
      </c>
      <c r="X200">
        <f t="shared" si="56"/>
        <v>1980</v>
      </c>
      <c r="Y200">
        <f t="shared" si="55"/>
        <v>8.6666666666666661</v>
      </c>
      <c r="Z200" s="4">
        <f t="shared" si="59"/>
        <v>18461538.461538464</v>
      </c>
      <c r="AA200" s="3">
        <f t="shared" si="59"/>
        <v>8.6666666666666661</v>
      </c>
      <c r="AB200" t="str">
        <f t="shared" si="57"/>
        <v>119B362</v>
      </c>
    </row>
    <row r="201" spans="14:28">
      <c r="N201">
        <v>199</v>
      </c>
      <c r="O201">
        <f t="shared" si="58"/>
        <v>1990</v>
      </c>
      <c r="P201">
        <f t="shared" si="46"/>
        <v>1990</v>
      </c>
      <c r="Q201">
        <f t="shared" si="47"/>
        <v>0</v>
      </c>
      <c r="R201" s="4">
        <f t="shared" si="48"/>
        <v>0</v>
      </c>
      <c r="S201" s="3">
        <f t="shared" si="49"/>
        <v>0</v>
      </c>
      <c r="T201" t="str">
        <f t="shared" si="50"/>
        <v>0</v>
      </c>
      <c r="V201">
        <v>199</v>
      </c>
      <c r="W201">
        <f t="shared" si="54"/>
        <v>1990</v>
      </c>
      <c r="X201">
        <f t="shared" si="56"/>
        <v>1990</v>
      </c>
      <c r="Y201">
        <f t="shared" si="55"/>
        <v>6.833333333333333</v>
      </c>
      <c r="Z201" s="4">
        <f t="shared" si="59"/>
        <v>23414634.146341465</v>
      </c>
      <c r="AA201" s="3">
        <f t="shared" si="59"/>
        <v>6.833333333333333</v>
      </c>
      <c r="AB201" t="str">
        <f t="shared" si="57"/>
        <v>165476A</v>
      </c>
    </row>
    <row r="202" spans="14:28">
      <c r="N202">
        <v>200</v>
      </c>
      <c r="O202">
        <f t="shared" si="58"/>
        <v>0</v>
      </c>
      <c r="P202">
        <f t="shared" si="46"/>
        <v>2000</v>
      </c>
      <c r="Q202">
        <f t="shared" si="47"/>
        <v>5</v>
      </c>
      <c r="R202" s="4">
        <f t="shared" si="48"/>
        <v>32000000</v>
      </c>
      <c r="S202" s="3">
        <f t="shared" si="49"/>
        <v>5</v>
      </c>
      <c r="T202" t="str">
        <f t="shared" si="50"/>
        <v>1E84800</v>
      </c>
      <c r="V202">
        <v>200</v>
      </c>
      <c r="W202">
        <f t="shared" si="54"/>
        <v>2000</v>
      </c>
      <c r="X202">
        <f t="shared" si="56"/>
        <v>2000</v>
      </c>
      <c r="Y202">
        <f t="shared" si="55"/>
        <v>5</v>
      </c>
      <c r="Z202" s="4">
        <f t="shared" si="59"/>
        <v>32000000</v>
      </c>
      <c r="AA202" s="3">
        <f t="shared" si="59"/>
        <v>5</v>
      </c>
      <c r="AB202" t="str">
        <f t="shared" si="57"/>
        <v>1E84800</v>
      </c>
    </row>
    <row r="203" spans="14:28">
      <c r="N203">
        <v>201</v>
      </c>
      <c r="O203">
        <f t="shared" si="58"/>
        <v>10</v>
      </c>
      <c r="P203">
        <f t="shared" ref="P203:P266" si="60">N203*10</f>
        <v>2010</v>
      </c>
      <c r="Q203">
        <f t="shared" ref="Q203:Q266" si="61">IF(O203&gt;$A$5,0,IF(O203&lt;$A$4,O203/($A$4)*($A$2-$A$3)+$A$3,IF($A$5-O203&lt;$A$4,($A$5-O203)/($A$4)*($A$2-$A$3)+$A$3,$A$2)))</f>
        <v>12.8</v>
      </c>
      <c r="R203" s="4">
        <f t="shared" ref="R203:R266" si="62">IFERROR(160*1000*1000/Q203,0)</f>
        <v>12500000</v>
      </c>
      <c r="S203" s="3">
        <f t="shared" ref="S203:S266" si="63">IFERROR(160*1000*1000/R203,0)</f>
        <v>12.8</v>
      </c>
      <c r="T203" t="str">
        <f t="shared" ref="T203:T266" si="64">DEC2HEX(R203)</f>
        <v>BEBC20</v>
      </c>
      <c r="V203">
        <v>201</v>
      </c>
      <c r="W203">
        <f t="shared" si="54"/>
        <v>2010</v>
      </c>
      <c r="X203">
        <f t="shared" si="56"/>
        <v>2010</v>
      </c>
      <c r="Y203">
        <f t="shared" si="55"/>
        <v>0</v>
      </c>
      <c r="Z203" s="4">
        <f t="shared" si="59"/>
        <v>0</v>
      </c>
      <c r="AA203" s="3">
        <f t="shared" si="59"/>
        <v>0</v>
      </c>
      <c r="AB203" t="str">
        <f t="shared" si="57"/>
        <v>0</v>
      </c>
    </row>
    <row r="204" spans="14:28">
      <c r="N204">
        <v>202</v>
      </c>
      <c r="O204">
        <f t="shared" si="58"/>
        <v>20</v>
      </c>
      <c r="P204">
        <f t="shared" si="60"/>
        <v>2020</v>
      </c>
      <c r="Q204">
        <f t="shared" si="61"/>
        <v>20.6</v>
      </c>
      <c r="R204" s="4">
        <f t="shared" si="62"/>
        <v>7766990.2912621358</v>
      </c>
      <c r="S204" s="3">
        <f t="shared" si="63"/>
        <v>20.6</v>
      </c>
      <c r="T204" t="str">
        <f t="shared" si="64"/>
        <v>7683CE</v>
      </c>
      <c r="V204">
        <v>202</v>
      </c>
      <c r="W204">
        <f t="shared" si="54"/>
        <v>2020</v>
      </c>
      <c r="X204">
        <f t="shared" si="56"/>
        <v>2020</v>
      </c>
      <c r="Y204">
        <f t="shared" si="55"/>
        <v>0</v>
      </c>
      <c r="Z204" s="4">
        <f t="shared" si="59"/>
        <v>0</v>
      </c>
      <c r="AA204" s="3">
        <f t="shared" si="59"/>
        <v>0</v>
      </c>
      <c r="AB204" t="str">
        <f t="shared" si="57"/>
        <v>0</v>
      </c>
    </row>
    <row r="205" spans="14:28">
      <c r="N205">
        <v>203</v>
      </c>
      <c r="O205">
        <f t="shared" si="58"/>
        <v>30</v>
      </c>
      <c r="P205">
        <f t="shared" si="60"/>
        <v>2030</v>
      </c>
      <c r="Q205">
        <f t="shared" si="61"/>
        <v>28.4</v>
      </c>
      <c r="R205" s="4">
        <f t="shared" si="62"/>
        <v>5633802.8169014091</v>
      </c>
      <c r="S205" s="3">
        <f t="shared" si="63"/>
        <v>28.4</v>
      </c>
      <c r="T205" t="str">
        <f t="shared" si="64"/>
        <v>55F70A</v>
      </c>
      <c r="V205">
        <v>203</v>
      </c>
      <c r="W205">
        <f t="shared" si="54"/>
        <v>2030</v>
      </c>
      <c r="X205">
        <f t="shared" si="56"/>
        <v>2030</v>
      </c>
      <c r="Y205">
        <f t="shared" si="55"/>
        <v>0</v>
      </c>
      <c r="Z205" s="4">
        <f t="shared" si="59"/>
        <v>0</v>
      </c>
      <c r="AA205" s="3">
        <f t="shared" si="59"/>
        <v>0</v>
      </c>
      <c r="AB205" t="str">
        <f t="shared" si="57"/>
        <v>0</v>
      </c>
    </row>
    <row r="206" spans="14:28">
      <c r="N206">
        <v>204</v>
      </c>
      <c r="O206">
        <f t="shared" si="58"/>
        <v>40</v>
      </c>
      <c r="P206">
        <f t="shared" si="60"/>
        <v>2040</v>
      </c>
      <c r="Q206">
        <f t="shared" si="61"/>
        <v>36.200000000000003</v>
      </c>
      <c r="R206" s="4">
        <f t="shared" si="62"/>
        <v>4419889.5027624303</v>
      </c>
      <c r="S206" s="3">
        <f t="shared" si="63"/>
        <v>36.200000000000003</v>
      </c>
      <c r="T206" t="str">
        <f t="shared" si="64"/>
        <v>437131</v>
      </c>
      <c r="V206">
        <v>204</v>
      </c>
      <c r="W206">
        <f t="shared" si="54"/>
        <v>2040</v>
      </c>
      <c r="X206">
        <f t="shared" si="56"/>
        <v>2040</v>
      </c>
      <c r="Y206">
        <f t="shared" si="55"/>
        <v>0</v>
      </c>
      <c r="Z206" s="4">
        <f t="shared" si="59"/>
        <v>0</v>
      </c>
      <c r="AA206" s="3">
        <f t="shared" si="59"/>
        <v>0</v>
      </c>
      <c r="AB206" t="str">
        <f t="shared" si="57"/>
        <v>0</v>
      </c>
    </row>
    <row r="207" spans="14:28">
      <c r="N207">
        <v>205</v>
      </c>
      <c r="O207">
        <f t="shared" si="58"/>
        <v>50</v>
      </c>
      <c r="P207">
        <f t="shared" si="60"/>
        <v>2050</v>
      </c>
      <c r="Q207">
        <f t="shared" si="61"/>
        <v>44</v>
      </c>
      <c r="R207" s="4">
        <f t="shared" si="62"/>
        <v>3636363.6363636362</v>
      </c>
      <c r="S207" s="3">
        <f t="shared" si="63"/>
        <v>44</v>
      </c>
      <c r="T207" t="str">
        <f t="shared" si="64"/>
        <v>377C8B</v>
      </c>
      <c r="V207">
        <v>205</v>
      </c>
      <c r="W207">
        <f t="shared" si="54"/>
        <v>2050</v>
      </c>
      <c r="X207">
        <f t="shared" si="56"/>
        <v>2050</v>
      </c>
      <c r="Y207">
        <f t="shared" si="55"/>
        <v>0</v>
      </c>
      <c r="Z207" s="4">
        <f t="shared" si="59"/>
        <v>0</v>
      </c>
      <c r="AA207" s="3">
        <f t="shared" si="59"/>
        <v>0</v>
      </c>
      <c r="AB207" t="str">
        <f t="shared" si="57"/>
        <v>0</v>
      </c>
    </row>
    <row r="208" spans="14:28">
      <c r="N208">
        <v>206</v>
      </c>
      <c r="O208">
        <f t="shared" si="58"/>
        <v>60</v>
      </c>
      <c r="P208">
        <f t="shared" si="60"/>
        <v>2060</v>
      </c>
      <c r="Q208">
        <f t="shared" si="61"/>
        <v>51.8</v>
      </c>
      <c r="R208" s="4">
        <f t="shared" si="62"/>
        <v>3088803.0888030888</v>
      </c>
      <c r="S208" s="3">
        <f t="shared" si="63"/>
        <v>51.800000000000004</v>
      </c>
      <c r="T208" t="str">
        <f t="shared" si="64"/>
        <v>2F21A3</v>
      </c>
      <c r="V208">
        <v>206</v>
      </c>
      <c r="W208">
        <f t="shared" si="54"/>
        <v>2060</v>
      </c>
      <c r="X208">
        <f t="shared" si="56"/>
        <v>2060</v>
      </c>
      <c r="Y208">
        <f t="shared" si="55"/>
        <v>0</v>
      </c>
      <c r="Z208" s="4">
        <f t="shared" si="59"/>
        <v>0</v>
      </c>
      <c r="AA208" s="3">
        <f t="shared" si="59"/>
        <v>0</v>
      </c>
      <c r="AB208" t="str">
        <f t="shared" si="57"/>
        <v>0</v>
      </c>
    </row>
    <row r="209" spans="14:28">
      <c r="N209">
        <v>207</v>
      </c>
      <c r="O209">
        <f t="shared" si="58"/>
        <v>70</v>
      </c>
      <c r="P209">
        <f t="shared" si="60"/>
        <v>2070</v>
      </c>
      <c r="Q209">
        <f t="shared" si="61"/>
        <v>59.600000000000009</v>
      </c>
      <c r="R209" s="4">
        <f t="shared" si="62"/>
        <v>2684563.7583892616</v>
      </c>
      <c r="S209" s="3">
        <f t="shared" si="63"/>
        <v>59.6</v>
      </c>
      <c r="T209" t="str">
        <f t="shared" si="64"/>
        <v>28F693</v>
      </c>
      <c r="V209">
        <v>207</v>
      </c>
      <c r="W209">
        <f t="shared" si="54"/>
        <v>2070</v>
      </c>
      <c r="X209">
        <f t="shared" si="56"/>
        <v>2070</v>
      </c>
      <c r="Y209">
        <f t="shared" si="55"/>
        <v>0</v>
      </c>
      <c r="Z209" s="4">
        <f t="shared" si="59"/>
        <v>0</v>
      </c>
      <c r="AA209" s="3">
        <f t="shared" si="59"/>
        <v>0</v>
      </c>
      <c r="AB209" t="str">
        <f t="shared" si="57"/>
        <v>0</v>
      </c>
    </row>
    <row r="210" spans="14:28">
      <c r="N210">
        <v>208</v>
      </c>
      <c r="O210">
        <f t="shared" si="58"/>
        <v>80</v>
      </c>
      <c r="P210">
        <f t="shared" si="60"/>
        <v>2080</v>
      </c>
      <c r="Q210">
        <f t="shared" si="61"/>
        <v>67.400000000000006</v>
      </c>
      <c r="R210" s="4">
        <f t="shared" si="62"/>
        <v>2373887.240356083</v>
      </c>
      <c r="S210" s="3">
        <f t="shared" si="63"/>
        <v>67.400000000000006</v>
      </c>
      <c r="T210" t="str">
        <f t="shared" si="64"/>
        <v>2438FF</v>
      </c>
      <c r="V210">
        <v>208</v>
      </c>
      <c r="W210">
        <f t="shared" si="54"/>
        <v>2080</v>
      </c>
      <c r="X210">
        <f t="shared" si="56"/>
        <v>2080</v>
      </c>
      <c r="Y210">
        <f t="shared" si="55"/>
        <v>0</v>
      </c>
      <c r="Z210" s="4">
        <f t="shared" si="59"/>
        <v>0</v>
      </c>
      <c r="AA210" s="3">
        <f t="shared" si="59"/>
        <v>0</v>
      </c>
      <c r="AB210" t="str">
        <f t="shared" si="57"/>
        <v>0</v>
      </c>
    </row>
    <row r="211" spans="14:28">
      <c r="N211">
        <v>209</v>
      </c>
      <c r="O211">
        <f t="shared" si="58"/>
        <v>90</v>
      </c>
      <c r="P211">
        <f t="shared" si="60"/>
        <v>2090</v>
      </c>
      <c r="Q211">
        <f t="shared" si="61"/>
        <v>75.2</v>
      </c>
      <c r="R211" s="4">
        <f t="shared" si="62"/>
        <v>2127659.5744680851</v>
      </c>
      <c r="S211" s="3">
        <f t="shared" si="63"/>
        <v>75.2</v>
      </c>
      <c r="T211" t="str">
        <f t="shared" si="64"/>
        <v>20772B</v>
      </c>
      <c r="V211">
        <v>209</v>
      </c>
      <c r="W211">
        <f t="shared" si="54"/>
        <v>2090</v>
      </c>
      <c r="X211">
        <f t="shared" si="56"/>
        <v>2090</v>
      </c>
      <c r="Y211">
        <f t="shared" si="55"/>
        <v>0</v>
      </c>
      <c r="Z211" s="4">
        <f t="shared" si="59"/>
        <v>0</v>
      </c>
      <c r="AA211" s="3">
        <f t="shared" si="59"/>
        <v>0</v>
      </c>
      <c r="AB211" t="str">
        <f t="shared" si="57"/>
        <v>0</v>
      </c>
    </row>
    <row r="212" spans="14:28">
      <c r="N212">
        <v>210</v>
      </c>
      <c r="O212">
        <f t="shared" si="58"/>
        <v>100</v>
      </c>
      <c r="P212">
        <f t="shared" si="60"/>
        <v>2100</v>
      </c>
      <c r="Q212">
        <f t="shared" si="61"/>
        <v>83</v>
      </c>
      <c r="R212" s="4">
        <f t="shared" si="62"/>
        <v>1927710.843373494</v>
      </c>
      <c r="S212" s="3">
        <f t="shared" si="63"/>
        <v>83</v>
      </c>
      <c r="T212" t="str">
        <f t="shared" si="64"/>
        <v>1D6A1E</v>
      </c>
      <c r="V212">
        <v>210</v>
      </c>
      <c r="W212">
        <f t="shared" si="54"/>
        <v>0</v>
      </c>
      <c r="X212">
        <f t="shared" si="56"/>
        <v>2100</v>
      </c>
      <c r="Y212">
        <f t="shared" si="55"/>
        <v>5</v>
      </c>
      <c r="Z212" s="4">
        <f t="shared" si="59"/>
        <v>32000000</v>
      </c>
      <c r="AA212" s="3">
        <f t="shared" si="59"/>
        <v>5</v>
      </c>
      <c r="AB212" t="str">
        <f t="shared" si="57"/>
        <v>1E84800</v>
      </c>
    </row>
    <row r="213" spans="14:28">
      <c r="N213">
        <v>211</v>
      </c>
      <c r="O213">
        <f t="shared" si="58"/>
        <v>110</v>
      </c>
      <c r="P213">
        <f t="shared" si="60"/>
        <v>2110</v>
      </c>
      <c r="Q213">
        <f t="shared" si="61"/>
        <v>90.8</v>
      </c>
      <c r="R213" s="4">
        <f t="shared" si="62"/>
        <v>1762114.537444934</v>
      </c>
      <c r="S213" s="3">
        <f t="shared" si="63"/>
        <v>90.8</v>
      </c>
      <c r="T213" t="str">
        <f t="shared" si="64"/>
        <v>1AE342</v>
      </c>
      <c r="V213">
        <v>211</v>
      </c>
      <c r="W213">
        <f t="shared" si="54"/>
        <v>10</v>
      </c>
      <c r="X213">
        <f t="shared" si="56"/>
        <v>2110</v>
      </c>
      <c r="Y213">
        <f t="shared" si="55"/>
        <v>6.833333333333333</v>
      </c>
      <c r="Z213" s="4">
        <f t="shared" si="59"/>
        <v>23414634.146341465</v>
      </c>
      <c r="AA213" s="3">
        <f t="shared" si="59"/>
        <v>6.833333333333333</v>
      </c>
      <c r="AB213" t="str">
        <f t="shared" si="57"/>
        <v>165476A</v>
      </c>
    </row>
    <row r="214" spans="14:28">
      <c r="N214">
        <v>212</v>
      </c>
      <c r="O214">
        <f t="shared" si="58"/>
        <v>120</v>
      </c>
      <c r="P214">
        <f t="shared" si="60"/>
        <v>2120</v>
      </c>
      <c r="Q214">
        <f t="shared" si="61"/>
        <v>98.6</v>
      </c>
      <c r="R214" s="4">
        <f t="shared" si="62"/>
        <v>1622718.0527383368</v>
      </c>
      <c r="S214" s="3">
        <f t="shared" si="63"/>
        <v>98.6</v>
      </c>
      <c r="T214" t="str">
        <f t="shared" si="64"/>
        <v>18C2BE</v>
      </c>
      <c r="V214">
        <v>212</v>
      </c>
      <c r="W214">
        <f t="shared" si="54"/>
        <v>20</v>
      </c>
      <c r="X214">
        <f t="shared" si="56"/>
        <v>2120</v>
      </c>
      <c r="Y214">
        <f t="shared" si="55"/>
        <v>8.6666666666666661</v>
      </c>
      <c r="Z214" s="4">
        <f t="shared" si="59"/>
        <v>18461538.461538464</v>
      </c>
      <c r="AA214" s="3">
        <f t="shared" si="59"/>
        <v>8.6666666666666661</v>
      </c>
      <c r="AB214" t="str">
        <f t="shared" si="57"/>
        <v>119B362</v>
      </c>
    </row>
    <row r="215" spans="14:28">
      <c r="N215">
        <v>213</v>
      </c>
      <c r="O215">
        <f t="shared" si="58"/>
        <v>130</v>
      </c>
      <c r="P215">
        <f t="shared" si="60"/>
        <v>2130</v>
      </c>
      <c r="Q215">
        <f t="shared" si="61"/>
        <v>106.4</v>
      </c>
      <c r="R215" s="4">
        <f t="shared" si="62"/>
        <v>1503759.3984962406</v>
      </c>
      <c r="S215" s="3">
        <f t="shared" si="63"/>
        <v>106.4</v>
      </c>
      <c r="T215" t="str">
        <f t="shared" si="64"/>
        <v>16F20F</v>
      </c>
      <c r="V215">
        <v>213</v>
      </c>
      <c r="W215">
        <f t="shared" si="54"/>
        <v>30</v>
      </c>
      <c r="X215">
        <f t="shared" si="56"/>
        <v>2130</v>
      </c>
      <c r="Y215">
        <f t="shared" si="55"/>
        <v>10.5</v>
      </c>
      <c r="Z215" s="4">
        <f t="shared" si="59"/>
        <v>15238095.238095239</v>
      </c>
      <c r="AA215" s="3">
        <f t="shared" si="59"/>
        <v>10.5</v>
      </c>
      <c r="AB215" t="str">
        <f t="shared" si="57"/>
        <v>E883CF</v>
      </c>
    </row>
    <row r="216" spans="14:28">
      <c r="N216">
        <v>214</v>
      </c>
      <c r="O216">
        <f t="shared" si="58"/>
        <v>140</v>
      </c>
      <c r="P216">
        <f t="shared" si="60"/>
        <v>2140</v>
      </c>
      <c r="Q216">
        <f t="shared" si="61"/>
        <v>114.20000000000002</v>
      </c>
      <c r="R216" s="4">
        <f t="shared" si="62"/>
        <v>1401050.7880910682</v>
      </c>
      <c r="S216" s="3">
        <f t="shared" si="63"/>
        <v>114.20000000000002</v>
      </c>
      <c r="T216" t="str">
        <f t="shared" si="64"/>
        <v>1560DA</v>
      </c>
      <c r="V216">
        <v>214</v>
      </c>
      <c r="W216">
        <f t="shared" si="54"/>
        <v>40</v>
      </c>
      <c r="X216">
        <f t="shared" si="56"/>
        <v>2140</v>
      </c>
      <c r="Y216">
        <f t="shared" si="55"/>
        <v>12.333333333333332</v>
      </c>
      <c r="Z216" s="4">
        <f t="shared" si="59"/>
        <v>12972972.972972974</v>
      </c>
      <c r="AA216" s="3">
        <f t="shared" si="59"/>
        <v>12.333333333333332</v>
      </c>
      <c r="AB216" t="str">
        <f t="shared" si="57"/>
        <v>C5F3AC</v>
      </c>
    </row>
    <row r="217" spans="14:28">
      <c r="N217">
        <v>215</v>
      </c>
      <c r="O217">
        <f t="shared" si="58"/>
        <v>150</v>
      </c>
      <c r="P217">
        <f t="shared" si="60"/>
        <v>2150</v>
      </c>
      <c r="Q217">
        <f t="shared" si="61"/>
        <v>122</v>
      </c>
      <c r="R217" s="4">
        <f t="shared" si="62"/>
        <v>1311475.4098360655</v>
      </c>
      <c r="S217" s="3">
        <f t="shared" si="63"/>
        <v>122.00000000000001</v>
      </c>
      <c r="T217" t="str">
        <f t="shared" si="64"/>
        <v>1402F3</v>
      </c>
      <c r="V217">
        <v>215</v>
      </c>
      <c r="W217">
        <f t="shared" si="54"/>
        <v>50</v>
      </c>
      <c r="X217">
        <f t="shared" si="56"/>
        <v>2150</v>
      </c>
      <c r="Y217">
        <f t="shared" si="55"/>
        <v>14.166666666666666</v>
      </c>
      <c r="Z217" s="4">
        <f t="shared" si="59"/>
        <v>11294117.647058824</v>
      </c>
      <c r="AA217" s="3">
        <f t="shared" si="59"/>
        <v>14.166666666666666</v>
      </c>
      <c r="AB217" t="str">
        <f t="shared" si="57"/>
        <v>AC55A5</v>
      </c>
    </row>
    <row r="218" spans="14:28">
      <c r="N218">
        <v>216</v>
      </c>
      <c r="O218">
        <f t="shared" si="58"/>
        <v>160</v>
      </c>
      <c r="P218">
        <f t="shared" si="60"/>
        <v>2160</v>
      </c>
      <c r="Q218">
        <f t="shared" si="61"/>
        <v>129.80000000000001</v>
      </c>
      <c r="R218" s="4">
        <f t="shared" si="62"/>
        <v>1232665.6394453004</v>
      </c>
      <c r="S218" s="3">
        <f t="shared" si="63"/>
        <v>129.80000000000001</v>
      </c>
      <c r="T218" t="str">
        <f t="shared" si="64"/>
        <v>12CF19</v>
      </c>
      <c r="V218">
        <v>216</v>
      </c>
      <c r="W218">
        <f t="shared" si="54"/>
        <v>60</v>
      </c>
      <c r="X218">
        <f t="shared" si="56"/>
        <v>2160</v>
      </c>
      <c r="Y218">
        <f t="shared" si="55"/>
        <v>16</v>
      </c>
      <c r="Z218" s="4">
        <f t="shared" si="59"/>
        <v>10000000</v>
      </c>
      <c r="AA218" s="3">
        <f t="shared" si="59"/>
        <v>16</v>
      </c>
      <c r="AB218" t="str">
        <f t="shared" si="57"/>
        <v>989680</v>
      </c>
    </row>
    <row r="219" spans="14:28">
      <c r="N219">
        <v>217</v>
      </c>
      <c r="O219">
        <f t="shared" si="58"/>
        <v>170</v>
      </c>
      <c r="P219">
        <f t="shared" si="60"/>
        <v>2170</v>
      </c>
      <c r="Q219">
        <f t="shared" si="61"/>
        <v>137.60000000000002</v>
      </c>
      <c r="R219" s="4">
        <f t="shared" si="62"/>
        <v>1162790.6976744183</v>
      </c>
      <c r="S219" s="3">
        <f t="shared" si="63"/>
        <v>137.60000000000002</v>
      </c>
      <c r="T219" t="str">
        <f t="shared" si="64"/>
        <v>11BE26</v>
      </c>
      <c r="V219">
        <v>217</v>
      </c>
      <c r="W219">
        <f t="shared" si="54"/>
        <v>70</v>
      </c>
      <c r="X219">
        <f t="shared" si="56"/>
        <v>2170</v>
      </c>
      <c r="Y219">
        <f t="shared" si="55"/>
        <v>17.833333333333336</v>
      </c>
      <c r="Z219" s="4">
        <f t="shared" ref="Z219:AA238" si="65">IFERROR(160*1000*1000/Y219,0)</f>
        <v>8971962.616822429</v>
      </c>
      <c r="AA219" s="3">
        <f t="shared" si="65"/>
        <v>17.833333333333336</v>
      </c>
      <c r="AB219" t="str">
        <f t="shared" si="57"/>
        <v>88E6BA</v>
      </c>
    </row>
    <row r="220" spans="14:28">
      <c r="N220">
        <v>218</v>
      </c>
      <c r="O220">
        <f t="shared" si="58"/>
        <v>180</v>
      </c>
      <c r="P220">
        <f t="shared" si="60"/>
        <v>2180</v>
      </c>
      <c r="Q220">
        <f t="shared" si="61"/>
        <v>145.4</v>
      </c>
      <c r="R220" s="4">
        <f t="shared" si="62"/>
        <v>1100412.6547455296</v>
      </c>
      <c r="S220" s="3">
        <f t="shared" si="63"/>
        <v>145.39999999999998</v>
      </c>
      <c r="T220" t="str">
        <f t="shared" si="64"/>
        <v>10CA7C</v>
      </c>
      <c r="V220">
        <v>218</v>
      </c>
      <c r="W220">
        <f t="shared" si="54"/>
        <v>80</v>
      </c>
      <c r="X220">
        <f t="shared" si="56"/>
        <v>2180</v>
      </c>
      <c r="Y220">
        <f t="shared" si="55"/>
        <v>19.666666666666664</v>
      </c>
      <c r="Z220" s="4">
        <f t="shared" si="65"/>
        <v>8135593.2203389844</v>
      </c>
      <c r="AA220" s="3">
        <f t="shared" si="65"/>
        <v>19.666666666666664</v>
      </c>
      <c r="AB220" t="str">
        <f t="shared" si="57"/>
        <v>7C23A9</v>
      </c>
    </row>
    <row r="221" spans="14:28">
      <c r="N221">
        <v>219</v>
      </c>
      <c r="O221">
        <f t="shared" si="58"/>
        <v>190</v>
      </c>
      <c r="P221">
        <f t="shared" si="60"/>
        <v>2190</v>
      </c>
      <c r="Q221">
        <f t="shared" si="61"/>
        <v>153.19999999999999</v>
      </c>
      <c r="R221" s="4">
        <f t="shared" si="62"/>
        <v>1044386.4229765014</v>
      </c>
      <c r="S221" s="3">
        <f t="shared" si="63"/>
        <v>153.19999999999999</v>
      </c>
      <c r="T221" t="str">
        <f t="shared" si="64"/>
        <v>FEFA2</v>
      </c>
      <c r="V221">
        <v>219</v>
      </c>
      <c r="W221">
        <f t="shared" si="54"/>
        <v>90</v>
      </c>
      <c r="X221">
        <f t="shared" si="56"/>
        <v>2190</v>
      </c>
      <c r="Y221">
        <f t="shared" si="55"/>
        <v>21.5</v>
      </c>
      <c r="Z221" s="4">
        <f t="shared" si="65"/>
        <v>7441860.4651162792</v>
      </c>
      <c r="AA221" s="3">
        <f t="shared" si="65"/>
        <v>21.5</v>
      </c>
      <c r="AB221" t="str">
        <f t="shared" si="57"/>
        <v>718DC4</v>
      </c>
    </row>
    <row r="222" spans="14:28">
      <c r="N222">
        <v>220</v>
      </c>
      <c r="O222">
        <f t="shared" si="58"/>
        <v>200</v>
      </c>
      <c r="P222">
        <f t="shared" si="60"/>
        <v>2200</v>
      </c>
      <c r="Q222">
        <f t="shared" si="61"/>
        <v>161</v>
      </c>
      <c r="R222" s="4">
        <f t="shared" si="62"/>
        <v>993788.81987577642</v>
      </c>
      <c r="S222" s="3">
        <f t="shared" si="63"/>
        <v>161</v>
      </c>
      <c r="T222" t="str">
        <f t="shared" si="64"/>
        <v>F29FC</v>
      </c>
      <c r="V222">
        <v>220</v>
      </c>
      <c r="W222">
        <f t="shared" si="54"/>
        <v>100</v>
      </c>
      <c r="X222">
        <f t="shared" si="56"/>
        <v>2200</v>
      </c>
      <c r="Y222">
        <f t="shared" si="55"/>
        <v>23.333333333333332</v>
      </c>
      <c r="Z222" s="4">
        <f t="shared" si="65"/>
        <v>6857142.8571428573</v>
      </c>
      <c r="AA222" s="3">
        <f t="shared" si="65"/>
        <v>23.333333333333332</v>
      </c>
      <c r="AB222" t="str">
        <f t="shared" si="57"/>
        <v>68A1B6</v>
      </c>
    </row>
    <row r="223" spans="14:28">
      <c r="N223">
        <v>221</v>
      </c>
      <c r="O223">
        <f t="shared" si="58"/>
        <v>210</v>
      </c>
      <c r="P223">
        <f t="shared" si="60"/>
        <v>2210</v>
      </c>
      <c r="Q223">
        <f t="shared" si="61"/>
        <v>168.79999999999998</v>
      </c>
      <c r="R223" s="4">
        <f t="shared" si="62"/>
        <v>947867.29857819912</v>
      </c>
      <c r="S223" s="3">
        <f t="shared" si="63"/>
        <v>168.79999999999998</v>
      </c>
      <c r="T223" t="str">
        <f t="shared" si="64"/>
        <v>E769B</v>
      </c>
      <c r="V223">
        <v>221</v>
      </c>
      <c r="W223">
        <f t="shared" si="54"/>
        <v>110</v>
      </c>
      <c r="X223">
        <f t="shared" si="56"/>
        <v>2210</v>
      </c>
      <c r="Y223">
        <f t="shared" si="55"/>
        <v>25.166666666666664</v>
      </c>
      <c r="Z223" s="4">
        <f t="shared" si="65"/>
        <v>6357615.8940397361</v>
      </c>
      <c r="AA223" s="3">
        <f t="shared" si="65"/>
        <v>25.166666666666664</v>
      </c>
      <c r="AB223" t="str">
        <f t="shared" si="57"/>
        <v>61026F</v>
      </c>
    </row>
    <row r="224" spans="14:28">
      <c r="N224">
        <v>222</v>
      </c>
      <c r="O224">
        <f t="shared" si="58"/>
        <v>220</v>
      </c>
      <c r="P224">
        <f t="shared" si="60"/>
        <v>2220</v>
      </c>
      <c r="Q224">
        <f t="shared" si="61"/>
        <v>176.6</v>
      </c>
      <c r="R224" s="4">
        <f t="shared" si="62"/>
        <v>906002.26500566257</v>
      </c>
      <c r="S224" s="3">
        <f t="shared" si="63"/>
        <v>176.6</v>
      </c>
      <c r="T224" t="str">
        <f t="shared" si="64"/>
        <v>DD312</v>
      </c>
      <c r="V224">
        <v>222</v>
      </c>
      <c r="W224">
        <f t="shared" si="54"/>
        <v>120</v>
      </c>
      <c r="X224">
        <f t="shared" si="56"/>
        <v>2220</v>
      </c>
      <c r="Y224">
        <f t="shared" si="55"/>
        <v>27</v>
      </c>
      <c r="Z224" s="4">
        <f t="shared" si="65"/>
        <v>5925925.9259259263</v>
      </c>
      <c r="AA224" s="3">
        <f t="shared" si="65"/>
        <v>27</v>
      </c>
      <c r="AB224" t="str">
        <f t="shared" si="57"/>
        <v>5A6C25</v>
      </c>
    </row>
    <row r="225" spans="14:28">
      <c r="N225">
        <v>223</v>
      </c>
      <c r="O225">
        <f t="shared" si="58"/>
        <v>230</v>
      </c>
      <c r="P225">
        <f t="shared" si="60"/>
        <v>2230</v>
      </c>
      <c r="Q225">
        <f t="shared" si="61"/>
        <v>184.4</v>
      </c>
      <c r="R225" s="4">
        <f t="shared" si="62"/>
        <v>867678.95878524939</v>
      </c>
      <c r="S225" s="3">
        <f t="shared" si="63"/>
        <v>184.4</v>
      </c>
      <c r="T225" t="str">
        <f t="shared" si="64"/>
        <v>D3D5E</v>
      </c>
      <c r="V225">
        <v>223</v>
      </c>
      <c r="W225">
        <f t="shared" si="54"/>
        <v>130</v>
      </c>
      <c r="X225">
        <f t="shared" si="56"/>
        <v>2230</v>
      </c>
      <c r="Y225">
        <f t="shared" si="55"/>
        <v>28.833333333333336</v>
      </c>
      <c r="Z225" s="4">
        <f t="shared" si="65"/>
        <v>5549132.9479768779</v>
      </c>
      <c r="AA225" s="3">
        <f t="shared" si="65"/>
        <v>28.833333333333336</v>
      </c>
      <c r="AB225" t="str">
        <f t="shared" si="57"/>
        <v>54AC4C</v>
      </c>
    </row>
    <row r="226" spans="14:28">
      <c r="N226">
        <v>224</v>
      </c>
      <c r="O226">
        <f t="shared" si="58"/>
        <v>240</v>
      </c>
      <c r="P226">
        <f t="shared" si="60"/>
        <v>2240</v>
      </c>
      <c r="Q226">
        <f t="shared" si="61"/>
        <v>192.2</v>
      </c>
      <c r="R226" s="4">
        <f t="shared" si="62"/>
        <v>832466.1810613944</v>
      </c>
      <c r="S226" s="3">
        <f t="shared" si="63"/>
        <v>192.2</v>
      </c>
      <c r="T226" t="str">
        <f t="shared" si="64"/>
        <v>CB3D2</v>
      </c>
      <c r="V226">
        <v>224</v>
      </c>
      <c r="W226">
        <f t="shared" si="54"/>
        <v>140</v>
      </c>
      <c r="X226">
        <f t="shared" si="56"/>
        <v>2240</v>
      </c>
      <c r="Y226">
        <f t="shared" si="55"/>
        <v>30.666666666666668</v>
      </c>
      <c r="Z226" s="4">
        <f t="shared" si="65"/>
        <v>5217391.3043478262</v>
      </c>
      <c r="AA226" s="3">
        <f t="shared" si="65"/>
        <v>30.666666666666668</v>
      </c>
      <c r="AB226" t="str">
        <f t="shared" ref="AB226:AB289" si="66">DEC2HEX(Z226)</f>
        <v>4F9C6F</v>
      </c>
    </row>
    <row r="227" spans="14:28">
      <c r="N227">
        <v>225</v>
      </c>
      <c r="O227">
        <f t="shared" si="58"/>
        <v>250</v>
      </c>
      <c r="P227">
        <f t="shared" si="60"/>
        <v>2250</v>
      </c>
      <c r="Q227">
        <f t="shared" si="61"/>
        <v>200</v>
      </c>
      <c r="R227" s="4">
        <f t="shared" si="62"/>
        <v>800000</v>
      </c>
      <c r="S227" s="3">
        <f t="shared" si="63"/>
        <v>200</v>
      </c>
      <c r="T227" t="str">
        <f t="shared" si="64"/>
        <v>C3500</v>
      </c>
      <c r="V227">
        <v>225</v>
      </c>
      <c r="W227">
        <f t="shared" si="54"/>
        <v>150</v>
      </c>
      <c r="X227">
        <f t="shared" si="56"/>
        <v>2250</v>
      </c>
      <c r="Y227">
        <f t="shared" si="55"/>
        <v>32.5</v>
      </c>
      <c r="Z227" s="4">
        <f t="shared" si="65"/>
        <v>4923076.923076923</v>
      </c>
      <c r="AA227" s="3">
        <f t="shared" si="65"/>
        <v>32.5</v>
      </c>
      <c r="AB227" t="str">
        <f t="shared" si="66"/>
        <v>4B1EC4</v>
      </c>
    </row>
    <row r="228" spans="14:28">
      <c r="N228">
        <v>226</v>
      </c>
      <c r="O228">
        <f t="shared" si="58"/>
        <v>260</v>
      </c>
      <c r="P228">
        <f t="shared" si="60"/>
        <v>2260</v>
      </c>
      <c r="Q228">
        <f t="shared" si="61"/>
        <v>200</v>
      </c>
      <c r="R228" s="4">
        <f t="shared" si="62"/>
        <v>800000</v>
      </c>
      <c r="S228" s="3">
        <f t="shared" si="63"/>
        <v>200</v>
      </c>
      <c r="T228" t="str">
        <f t="shared" si="64"/>
        <v>C3500</v>
      </c>
      <c r="V228">
        <v>226</v>
      </c>
      <c r="W228">
        <f t="shared" si="54"/>
        <v>160</v>
      </c>
      <c r="X228">
        <f t="shared" si="56"/>
        <v>2260</v>
      </c>
      <c r="Y228">
        <f t="shared" si="55"/>
        <v>34.333333333333329</v>
      </c>
      <c r="Z228" s="4">
        <f t="shared" si="65"/>
        <v>4660194.1747572822</v>
      </c>
      <c r="AA228" s="3">
        <f t="shared" si="65"/>
        <v>34.333333333333329</v>
      </c>
      <c r="AB228" t="str">
        <f t="shared" si="66"/>
        <v>471BE2</v>
      </c>
    </row>
    <row r="229" spans="14:28">
      <c r="N229">
        <v>227</v>
      </c>
      <c r="O229">
        <f t="shared" si="58"/>
        <v>270</v>
      </c>
      <c r="P229">
        <f t="shared" si="60"/>
        <v>2270</v>
      </c>
      <c r="Q229">
        <f t="shared" si="61"/>
        <v>200</v>
      </c>
      <c r="R229" s="4">
        <f t="shared" si="62"/>
        <v>800000</v>
      </c>
      <c r="S229" s="3">
        <f t="shared" si="63"/>
        <v>200</v>
      </c>
      <c r="T229" t="str">
        <f t="shared" si="64"/>
        <v>C3500</v>
      </c>
      <c r="V229">
        <v>227</v>
      </c>
      <c r="W229">
        <f t="shared" si="54"/>
        <v>170</v>
      </c>
      <c r="X229">
        <f t="shared" si="56"/>
        <v>2270</v>
      </c>
      <c r="Y229">
        <f t="shared" si="55"/>
        <v>36.166666666666664</v>
      </c>
      <c r="Z229" s="4">
        <f t="shared" si="65"/>
        <v>4423963.1336405529</v>
      </c>
      <c r="AA229" s="3">
        <f t="shared" si="65"/>
        <v>36.166666666666664</v>
      </c>
      <c r="AB229" t="str">
        <f t="shared" si="66"/>
        <v>43811B</v>
      </c>
    </row>
    <row r="230" spans="14:28">
      <c r="N230">
        <v>228</v>
      </c>
      <c r="O230">
        <f t="shared" si="58"/>
        <v>280</v>
      </c>
      <c r="P230">
        <f t="shared" si="60"/>
        <v>2280</v>
      </c>
      <c r="Q230">
        <f t="shared" si="61"/>
        <v>200</v>
      </c>
      <c r="R230" s="4">
        <f t="shared" si="62"/>
        <v>800000</v>
      </c>
      <c r="S230" s="3">
        <f t="shared" si="63"/>
        <v>200</v>
      </c>
      <c r="T230" t="str">
        <f t="shared" si="64"/>
        <v>C3500</v>
      </c>
      <c r="V230">
        <v>228</v>
      </c>
      <c r="W230">
        <f t="shared" si="54"/>
        <v>180</v>
      </c>
      <c r="X230">
        <f t="shared" si="56"/>
        <v>2280</v>
      </c>
      <c r="Y230">
        <f t="shared" si="55"/>
        <v>38</v>
      </c>
      <c r="Z230" s="4">
        <f t="shared" si="65"/>
        <v>4210526.3157894732</v>
      </c>
      <c r="AA230" s="3">
        <f t="shared" si="65"/>
        <v>38.000000000000007</v>
      </c>
      <c r="AB230" t="str">
        <f t="shared" si="66"/>
        <v>403F5E</v>
      </c>
    </row>
    <row r="231" spans="14:28">
      <c r="N231">
        <v>229</v>
      </c>
      <c r="O231">
        <f t="shared" si="58"/>
        <v>290</v>
      </c>
      <c r="P231">
        <f t="shared" si="60"/>
        <v>2290</v>
      </c>
      <c r="Q231">
        <f t="shared" si="61"/>
        <v>200</v>
      </c>
      <c r="R231" s="4">
        <f t="shared" si="62"/>
        <v>800000</v>
      </c>
      <c r="S231" s="3">
        <f t="shared" si="63"/>
        <v>200</v>
      </c>
      <c r="T231" t="str">
        <f t="shared" si="64"/>
        <v>C3500</v>
      </c>
      <c r="V231">
        <v>229</v>
      </c>
      <c r="W231">
        <f t="shared" si="54"/>
        <v>190</v>
      </c>
      <c r="X231">
        <f t="shared" si="56"/>
        <v>2290</v>
      </c>
      <c r="Y231">
        <f t="shared" si="55"/>
        <v>39.833333333333329</v>
      </c>
      <c r="Z231" s="4">
        <f t="shared" si="65"/>
        <v>4016736.4016736406</v>
      </c>
      <c r="AA231" s="3">
        <f t="shared" si="65"/>
        <v>39.833333333333329</v>
      </c>
      <c r="AB231" t="str">
        <f t="shared" si="66"/>
        <v>3D4A60</v>
      </c>
    </row>
    <row r="232" spans="14:28">
      <c r="N232">
        <v>230</v>
      </c>
      <c r="O232">
        <f t="shared" si="58"/>
        <v>300</v>
      </c>
      <c r="P232">
        <f t="shared" si="60"/>
        <v>2300</v>
      </c>
      <c r="Q232">
        <f t="shared" si="61"/>
        <v>200</v>
      </c>
      <c r="R232" s="4">
        <f t="shared" si="62"/>
        <v>800000</v>
      </c>
      <c r="S232" s="3">
        <f t="shared" si="63"/>
        <v>200</v>
      </c>
      <c r="T232" t="str">
        <f t="shared" si="64"/>
        <v>C3500</v>
      </c>
      <c r="V232">
        <v>230</v>
      </c>
      <c r="W232">
        <f t="shared" si="54"/>
        <v>200</v>
      </c>
      <c r="X232">
        <f t="shared" si="56"/>
        <v>2300</v>
      </c>
      <c r="Y232">
        <f t="shared" si="55"/>
        <v>41.666666666666664</v>
      </c>
      <c r="Z232" s="4">
        <f t="shared" si="65"/>
        <v>3840000</v>
      </c>
      <c r="AA232" s="3">
        <f t="shared" si="65"/>
        <v>41.666666666666664</v>
      </c>
      <c r="AB232" t="str">
        <f t="shared" si="66"/>
        <v>3A9800</v>
      </c>
    </row>
    <row r="233" spans="14:28">
      <c r="N233">
        <v>231</v>
      </c>
      <c r="O233">
        <f t="shared" si="58"/>
        <v>310</v>
      </c>
      <c r="P233">
        <f t="shared" si="60"/>
        <v>2310</v>
      </c>
      <c r="Q233">
        <f t="shared" si="61"/>
        <v>200</v>
      </c>
      <c r="R233" s="4">
        <f t="shared" si="62"/>
        <v>800000</v>
      </c>
      <c r="S233" s="3">
        <f t="shared" si="63"/>
        <v>200</v>
      </c>
      <c r="T233" t="str">
        <f t="shared" si="64"/>
        <v>C3500</v>
      </c>
      <c r="V233">
        <v>231</v>
      </c>
      <c r="W233">
        <f t="shared" si="54"/>
        <v>210</v>
      </c>
      <c r="X233">
        <f t="shared" si="56"/>
        <v>2310</v>
      </c>
      <c r="Y233">
        <f t="shared" si="55"/>
        <v>43.5</v>
      </c>
      <c r="Z233" s="4">
        <f t="shared" si="65"/>
        <v>3678160.9195402297</v>
      </c>
      <c r="AA233" s="3">
        <f t="shared" si="65"/>
        <v>43.5</v>
      </c>
      <c r="AB233" t="str">
        <f t="shared" si="66"/>
        <v>381FD0</v>
      </c>
    </row>
    <row r="234" spans="14:28">
      <c r="N234">
        <v>232</v>
      </c>
      <c r="O234">
        <f t="shared" si="58"/>
        <v>320</v>
      </c>
      <c r="P234">
        <f t="shared" si="60"/>
        <v>2320</v>
      </c>
      <c r="Q234">
        <f t="shared" si="61"/>
        <v>200</v>
      </c>
      <c r="R234" s="4">
        <f t="shared" si="62"/>
        <v>800000</v>
      </c>
      <c r="S234" s="3">
        <f t="shared" si="63"/>
        <v>200</v>
      </c>
      <c r="T234" t="str">
        <f t="shared" si="64"/>
        <v>C3500</v>
      </c>
      <c r="V234">
        <v>232</v>
      </c>
      <c r="W234">
        <f t="shared" si="54"/>
        <v>220</v>
      </c>
      <c r="X234">
        <f t="shared" si="56"/>
        <v>2320</v>
      </c>
      <c r="Y234">
        <f t="shared" si="55"/>
        <v>45.333333333333329</v>
      </c>
      <c r="Z234" s="4">
        <f t="shared" si="65"/>
        <v>3529411.7647058829</v>
      </c>
      <c r="AA234" s="3">
        <f t="shared" si="65"/>
        <v>45.333333333333329</v>
      </c>
      <c r="AB234" t="str">
        <f t="shared" si="66"/>
        <v>35DAC3</v>
      </c>
    </row>
    <row r="235" spans="14:28">
      <c r="N235">
        <v>233</v>
      </c>
      <c r="O235">
        <f t="shared" si="58"/>
        <v>330</v>
      </c>
      <c r="P235">
        <f t="shared" si="60"/>
        <v>2330</v>
      </c>
      <c r="Q235">
        <f t="shared" si="61"/>
        <v>200</v>
      </c>
      <c r="R235" s="4">
        <f t="shared" si="62"/>
        <v>800000</v>
      </c>
      <c r="S235" s="3">
        <f t="shared" si="63"/>
        <v>200</v>
      </c>
      <c r="T235" t="str">
        <f t="shared" si="64"/>
        <v>C3500</v>
      </c>
      <c r="V235">
        <v>233</v>
      </c>
      <c r="W235">
        <f t="shared" si="54"/>
        <v>230</v>
      </c>
      <c r="X235">
        <f t="shared" si="56"/>
        <v>2330</v>
      </c>
      <c r="Y235">
        <f t="shared" si="55"/>
        <v>47.166666666666671</v>
      </c>
      <c r="Z235" s="4">
        <f t="shared" si="65"/>
        <v>3392226.1484098937</v>
      </c>
      <c r="AA235" s="3">
        <f t="shared" si="65"/>
        <v>47.166666666666671</v>
      </c>
      <c r="AB235" t="str">
        <f t="shared" si="66"/>
        <v>33C2E2</v>
      </c>
    </row>
    <row r="236" spans="14:28">
      <c r="N236">
        <v>234</v>
      </c>
      <c r="O236">
        <f t="shared" si="58"/>
        <v>340</v>
      </c>
      <c r="P236">
        <f t="shared" si="60"/>
        <v>2340</v>
      </c>
      <c r="Q236">
        <f t="shared" si="61"/>
        <v>200</v>
      </c>
      <c r="R236" s="4">
        <f t="shared" si="62"/>
        <v>800000</v>
      </c>
      <c r="S236" s="3">
        <f t="shared" si="63"/>
        <v>200</v>
      </c>
      <c r="T236" t="str">
        <f t="shared" si="64"/>
        <v>C3500</v>
      </c>
      <c r="V236">
        <v>234</v>
      </c>
      <c r="W236">
        <f t="shared" si="54"/>
        <v>240</v>
      </c>
      <c r="X236">
        <f t="shared" si="56"/>
        <v>2340</v>
      </c>
      <c r="Y236">
        <f t="shared" si="55"/>
        <v>49</v>
      </c>
      <c r="Z236" s="4">
        <f t="shared" si="65"/>
        <v>3265306.1224489794</v>
      </c>
      <c r="AA236" s="3">
        <f t="shared" si="65"/>
        <v>49</v>
      </c>
      <c r="AB236" t="str">
        <f t="shared" si="66"/>
        <v>31D31A</v>
      </c>
    </row>
    <row r="237" spans="14:28">
      <c r="N237">
        <v>235</v>
      </c>
      <c r="O237">
        <f t="shared" si="58"/>
        <v>350</v>
      </c>
      <c r="P237">
        <f t="shared" si="60"/>
        <v>2350</v>
      </c>
      <c r="Q237">
        <f t="shared" si="61"/>
        <v>200</v>
      </c>
      <c r="R237" s="4">
        <f t="shared" si="62"/>
        <v>800000</v>
      </c>
      <c r="S237" s="3">
        <f t="shared" si="63"/>
        <v>200</v>
      </c>
      <c r="T237" t="str">
        <f t="shared" si="64"/>
        <v>C3500</v>
      </c>
      <c r="V237">
        <v>235</v>
      </c>
      <c r="W237">
        <f t="shared" si="54"/>
        <v>250</v>
      </c>
      <c r="X237">
        <f t="shared" si="56"/>
        <v>2350</v>
      </c>
      <c r="Y237">
        <f t="shared" si="55"/>
        <v>50.833333333333336</v>
      </c>
      <c r="Z237" s="4">
        <f t="shared" si="65"/>
        <v>3147540.9836065574</v>
      </c>
      <c r="AA237" s="3">
        <f t="shared" si="65"/>
        <v>50.833333333333336</v>
      </c>
      <c r="AB237" t="str">
        <f t="shared" si="66"/>
        <v>300714</v>
      </c>
    </row>
    <row r="238" spans="14:28">
      <c r="N238">
        <v>236</v>
      </c>
      <c r="O238">
        <f t="shared" si="58"/>
        <v>360</v>
      </c>
      <c r="P238">
        <f t="shared" si="60"/>
        <v>2360</v>
      </c>
      <c r="Q238">
        <f t="shared" si="61"/>
        <v>200</v>
      </c>
      <c r="R238" s="4">
        <f t="shared" si="62"/>
        <v>800000</v>
      </c>
      <c r="S238" s="3">
        <f t="shared" si="63"/>
        <v>200</v>
      </c>
      <c r="T238" t="str">
        <f t="shared" si="64"/>
        <v>C3500</v>
      </c>
      <c r="V238">
        <v>236</v>
      </c>
      <c r="W238">
        <f t="shared" si="54"/>
        <v>260</v>
      </c>
      <c r="X238">
        <f t="shared" si="56"/>
        <v>2360</v>
      </c>
      <c r="Y238">
        <f t="shared" si="55"/>
        <v>52.666666666666671</v>
      </c>
      <c r="Z238" s="4">
        <f t="shared" si="65"/>
        <v>3037974.6835443038</v>
      </c>
      <c r="AA238" s="3">
        <f t="shared" si="65"/>
        <v>52.666666666666664</v>
      </c>
      <c r="AB238" t="str">
        <f t="shared" si="66"/>
        <v>2E5B16</v>
      </c>
    </row>
    <row r="239" spans="14:28">
      <c r="N239">
        <v>237</v>
      </c>
      <c r="O239">
        <f t="shared" si="58"/>
        <v>370</v>
      </c>
      <c r="P239">
        <f t="shared" si="60"/>
        <v>2370</v>
      </c>
      <c r="Q239">
        <f t="shared" si="61"/>
        <v>200</v>
      </c>
      <c r="R239" s="4">
        <f t="shared" si="62"/>
        <v>800000</v>
      </c>
      <c r="S239" s="3">
        <f t="shared" si="63"/>
        <v>200</v>
      </c>
      <c r="T239" t="str">
        <f t="shared" si="64"/>
        <v>C3500</v>
      </c>
      <c r="V239">
        <v>237</v>
      </c>
      <c r="W239">
        <f t="shared" si="54"/>
        <v>270</v>
      </c>
      <c r="X239">
        <f t="shared" si="56"/>
        <v>2370</v>
      </c>
      <c r="Y239">
        <f t="shared" si="55"/>
        <v>54.5</v>
      </c>
      <c r="Z239" s="4">
        <f t="shared" ref="Z239:AA258" si="67">IFERROR(160*1000*1000/Y239,0)</f>
        <v>2935779.8165137614</v>
      </c>
      <c r="AA239" s="3">
        <f t="shared" si="67"/>
        <v>54.5</v>
      </c>
      <c r="AB239" t="str">
        <f t="shared" si="66"/>
        <v>2CCBE3</v>
      </c>
    </row>
    <row r="240" spans="14:28">
      <c r="N240">
        <v>238</v>
      </c>
      <c r="O240">
        <f t="shared" si="58"/>
        <v>380</v>
      </c>
      <c r="P240">
        <f t="shared" si="60"/>
        <v>2380</v>
      </c>
      <c r="Q240">
        <f t="shared" si="61"/>
        <v>200</v>
      </c>
      <c r="R240" s="4">
        <f t="shared" si="62"/>
        <v>800000</v>
      </c>
      <c r="S240" s="3">
        <f t="shared" si="63"/>
        <v>200</v>
      </c>
      <c r="T240" t="str">
        <f t="shared" si="64"/>
        <v>C3500</v>
      </c>
      <c r="V240">
        <v>238</v>
      </c>
      <c r="W240">
        <f t="shared" si="54"/>
        <v>280</v>
      </c>
      <c r="X240">
        <f t="shared" si="56"/>
        <v>2380</v>
      </c>
      <c r="Y240">
        <f t="shared" si="55"/>
        <v>56.333333333333336</v>
      </c>
      <c r="Z240" s="4">
        <f t="shared" si="67"/>
        <v>2840236.6863905326</v>
      </c>
      <c r="AA240" s="3">
        <f t="shared" si="67"/>
        <v>56.333333333333329</v>
      </c>
      <c r="AB240" t="str">
        <f t="shared" si="66"/>
        <v>2B56AC</v>
      </c>
    </row>
    <row r="241" spans="14:28">
      <c r="N241">
        <v>239</v>
      </c>
      <c r="O241">
        <f t="shared" si="58"/>
        <v>390</v>
      </c>
      <c r="P241">
        <f t="shared" si="60"/>
        <v>2390</v>
      </c>
      <c r="Q241">
        <f t="shared" si="61"/>
        <v>200</v>
      </c>
      <c r="R241" s="4">
        <f t="shared" si="62"/>
        <v>800000</v>
      </c>
      <c r="S241" s="3">
        <f t="shared" si="63"/>
        <v>200</v>
      </c>
      <c r="T241" t="str">
        <f t="shared" si="64"/>
        <v>C3500</v>
      </c>
      <c r="V241">
        <v>239</v>
      </c>
      <c r="W241">
        <f t="shared" si="54"/>
        <v>290</v>
      </c>
      <c r="X241">
        <f t="shared" si="56"/>
        <v>2390</v>
      </c>
      <c r="Y241">
        <f t="shared" si="55"/>
        <v>58.166666666666664</v>
      </c>
      <c r="Z241" s="4">
        <f t="shared" si="67"/>
        <v>2750716.3323782235</v>
      </c>
      <c r="AA241" s="3">
        <f t="shared" si="67"/>
        <v>58.166666666666664</v>
      </c>
      <c r="AB241" t="str">
        <f t="shared" si="66"/>
        <v>29F8FC</v>
      </c>
    </row>
    <row r="242" spans="14:28">
      <c r="N242">
        <v>240</v>
      </c>
      <c r="O242">
        <f t="shared" si="58"/>
        <v>400</v>
      </c>
      <c r="P242">
        <f t="shared" si="60"/>
        <v>2400</v>
      </c>
      <c r="Q242">
        <f t="shared" si="61"/>
        <v>200</v>
      </c>
      <c r="R242" s="4">
        <f t="shared" si="62"/>
        <v>800000</v>
      </c>
      <c r="S242" s="3">
        <f t="shared" si="63"/>
        <v>200</v>
      </c>
      <c r="T242" t="str">
        <f t="shared" si="64"/>
        <v>C3500</v>
      </c>
      <c r="V242">
        <v>240</v>
      </c>
      <c r="W242">
        <f t="shared" si="54"/>
        <v>300</v>
      </c>
      <c r="X242">
        <f t="shared" si="56"/>
        <v>2400</v>
      </c>
      <c r="Y242">
        <f t="shared" si="55"/>
        <v>60</v>
      </c>
      <c r="Z242" s="4">
        <f t="shared" si="67"/>
        <v>2666666.6666666665</v>
      </c>
      <c r="AA242" s="3">
        <f t="shared" si="67"/>
        <v>60</v>
      </c>
      <c r="AB242" t="str">
        <f t="shared" si="66"/>
        <v>28B0AA</v>
      </c>
    </row>
    <row r="243" spans="14:28">
      <c r="N243">
        <v>241</v>
      </c>
      <c r="O243">
        <f t="shared" si="58"/>
        <v>410</v>
      </c>
      <c r="P243">
        <f t="shared" si="60"/>
        <v>2410</v>
      </c>
      <c r="Q243">
        <f t="shared" si="61"/>
        <v>200</v>
      </c>
      <c r="R243" s="4">
        <f t="shared" si="62"/>
        <v>800000</v>
      </c>
      <c r="S243" s="3">
        <f t="shared" si="63"/>
        <v>200</v>
      </c>
      <c r="T243" t="str">
        <f t="shared" si="64"/>
        <v>C3500</v>
      </c>
      <c r="V243">
        <v>241</v>
      </c>
      <c r="W243">
        <f t="shared" si="54"/>
        <v>310</v>
      </c>
      <c r="X243">
        <f t="shared" si="56"/>
        <v>2410</v>
      </c>
      <c r="Y243">
        <f t="shared" si="55"/>
        <v>60</v>
      </c>
      <c r="Z243" s="4">
        <f t="shared" si="67"/>
        <v>2666666.6666666665</v>
      </c>
      <c r="AA243" s="3">
        <f t="shared" si="67"/>
        <v>60</v>
      </c>
      <c r="AB243" t="str">
        <f t="shared" si="66"/>
        <v>28B0AA</v>
      </c>
    </row>
    <row r="244" spans="14:28">
      <c r="N244">
        <v>242</v>
      </c>
      <c r="O244">
        <f t="shared" si="58"/>
        <v>420</v>
      </c>
      <c r="P244">
        <f t="shared" si="60"/>
        <v>2420</v>
      </c>
      <c r="Q244">
        <f t="shared" si="61"/>
        <v>200</v>
      </c>
      <c r="R244" s="4">
        <f t="shared" si="62"/>
        <v>800000</v>
      </c>
      <c r="S244" s="3">
        <f t="shared" si="63"/>
        <v>200</v>
      </c>
      <c r="T244" t="str">
        <f t="shared" si="64"/>
        <v>C3500</v>
      </c>
      <c r="V244">
        <v>242</v>
      </c>
      <c r="W244">
        <f t="shared" si="54"/>
        <v>320</v>
      </c>
      <c r="X244">
        <f t="shared" si="56"/>
        <v>2420</v>
      </c>
      <c r="Y244">
        <f t="shared" si="55"/>
        <v>60</v>
      </c>
      <c r="Z244" s="4">
        <f t="shared" si="67"/>
        <v>2666666.6666666665</v>
      </c>
      <c r="AA244" s="3">
        <f t="shared" si="67"/>
        <v>60</v>
      </c>
      <c r="AB244" t="str">
        <f t="shared" si="66"/>
        <v>28B0AA</v>
      </c>
    </row>
    <row r="245" spans="14:28">
      <c r="N245">
        <v>243</v>
      </c>
      <c r="O245">
        <f t="shared" si="58"/>
        <v>430</v>
      </c>
      <c r="P245">
        <f t="shared" si="60"/>
        <v>2430</v>
      </c>
      <c r="Q245">
        <f t="shared" si="61"/>
        <v>200</v>
      </c>
      <c r="R245" s="4">
        <f t="shared" si="62"/>
        <v>800000</v>
      </c>
      <c r="S245" s="3">
        <f t="shared" si="63"/>
        <v>200</v>
      </c>
      <c r="T245" t="str">
        <f t="shared" si="64"/>
        <v>C3500</v>
      </c>
      <c r="V245">
        <v>243</v>
      </c>
      <c r="W245">
        <f t="shared" si="54"/>
        <v>330</v>
      </c>
      <c r="X245">
        <f t="shared" si="56"/>
        <v>2430</v>
      </c>
      <c r="Y245">
        <f t="shared" si="55"/>
        <v>60</v>
      </c>
      <c r="Z245" s="4">
        <f t="shared" si="67"/>
        <v>2666666.6666666665</v>
      </c>
      <c r="AA245" s="3">
        <f t="shared" si="67"/>
        <v>60</v>
      </c>
      <c r="AB245" t="str">
        <f t="shared" si="66"/>
        <v>28B0AA</v>
      </c>
    </row>
    <row r="246" spans="14:28">
      <c r="N246">
        <v>244</v>
      </c>
      <c r="O246">
        <f t="shared" si="58"/>
        <v>440</v>
      </c>
      <c r="P246">
        <f t="shared" si="60"/>
        <v>2440</v>
      </c>
      <c r="Q246">
        <f t="shared" si="61"/>
        <v>200</v>
      </c>
      <c r="R246" s="4">
        <f t="shared" si="62"/>
        <v>800000</v>
      </c>
      <c r="S246" s="3">
        <f t="shared" si="63"/>
        <v>200</v>
      </c>
      <c r="T246" t="str">
        <f t="shared" si="64"/>
        <v>C3500</v>
      </c>
      <c r="V246">
        <v>244</v>
      </c>
      <c r="W246">
        <f t="shared" si="54"/>
        <v>340</v>
      </c>
      <c r="X246">
        <f t="shared" si="56"/>
        <v>2440</v>
      </c>
      <c r="Y246">
        <f t="shared" si="55"/>
        <v>60</v>
      </c>
      <c r="Z246" s="4">
        <f t="shared" si="67"/>
        <v>2666666.6666666665</v>
      </c>
      <c r="AA246" s="3">
        <f t="shared" si="67"/>
        <v>60</v>
      </c>
      <c r="AB246" t="str">
        <f t="shared" si="66"/>
        <v>28B0AA</v>
      </c>
    </row>
    <row r="247" spans="14:28">
      <c r="N247">
        <v>245</v>
      </c>
      <c r="O247">
        <f t="shared" si="58"/>
        <v>450</v>
      </c>
      <c r="P247">
        <f t="shared" si="60"/>
        <v>2450</v>
      </c>
      <c r="Q247">
        <f t="shared" si="61"/>
        <v>200</v>
      </c>
      <c r="R247" s="4">
        <f t="shared" si="62"/>
        <v>800000</v>
      </c>
      <c r="S247" s="3">
        <f t="shared" si="63"/>
        <v>200</v>
      </c>
      <c r="T247" t="str">
        <f t="shared" si="64"/>
        <v>C3500</v>
      </c>
      <c r="V247">
        <v>245</v>
      </c>
      <c r="W247">
        <f t="shared" si="54"/>
        <v>350</v>
      </c>
      <c r="X247">
        <f t="shared" si="56"/>
        <v>2450</v>
      </c>
      <c r="Y247">
        <f t="shared" si="55"/>
        <v>60</v>
      </c>
      <c r="Z247" s="4">
        <f t="shared" si="67"/>
        <v>2666666.6666666665</v>
      </c>
      <c r="AA247" s="3">
        <f t="shared" si="67"/>
        <v>60</v>
      </c>
      <c r="AB247" t="str">
        <f t="shared" si="66"/>
        <v>28B0AA</v>
      </c>
    </row>
    <row r="248" spans="14:28">
      <c r="N248">
        <v>246</v>
      </c>
      <c r="O248">
        <f t="shared" si="58"/>
        <v>460</v>
      </c>
      <c r="P248">
        <f t="shared" si="60"/>
        <v>2460</v>
      </c>
      <c r="Q248">
        <f t="shared" si="61"/>
        <v>200</v>
      </c>
      <c r="R248" s="4">
        <f t="shared" si="62"/>
        <v>800000</v>
      </c>
      <c r="S248" s="3">
        <f t="shared" si="63"/>
        <v>200</v>
      </c>
      <c r="T248" t="str">
        <f t="shared" si="64"/>
        <v>C3500</v>
      </c>
      <c r="V248">
        <v>246</v>
      </c>
      <c r="W248">
        <f t="shared" si="54"/>
        <v>360</v>
      </c>
      <c r="X248">
        <f t="shared" si="56"/>
        <v>2460</v>
      </c>
      <c r="Y248">
        <f t="shared" si="55"/>
        <v>60</v>
      </c>
      <c r="Z248" s="4">
        <f t="shared" si="67"/>
        <v>2666666.6666666665</v>
      </c>
      <c r="AA248" s="3">
        <f t="shared" si="67"/>
        <v>60</v>
      </c>
      <c r="AB248" t="str">
        <f t="shared" si="66"/>
        <v>28B0AA</v>
      </c>
    </row>
    <row r="249" spans="14:28">
      <c r="N249">
        <v>247</v>
      </c>
      <c r="O249">
        <f t="shared" si="58"/>
        <v>470</v>
      </c>
      <c r="P249">
        <f t="shared" si="60"/>
        <v>2470</v>
      </c>
      <c r="Q249">
        <f t="shared" si="61"/>
        <v>200</v>
      </c>
      <c r="R249" s="4">
        <f t="shared" si="62"/>
        <v>800000</v>
      </c>
      <c r="S249" s="3">
        <f t="shared" si="63"/>
        <v>200</v>
      </c>
      <c r="T249" t="str">
        <f t="shared" si="64"/>
        <v>C3500</v>
      </c>
      <c r="V249">
        <v>247</v>
      </c>
      <c r="W249">
        <f t="shared" si="54"/>
        <v>370</v>
      </c>
      <c r="X249">
        <f t="shared" si="56"/>
        <v>2470</v>
      </c>
      <c r="Y249">
        <f t="shared" si="55"/>
        <v>60</v>
      </c>
      <c r="Z249" s="4">
        <f t="shared" si="67"/>
        <v>2666666.6666666665</v>
      </c>
      <c r="AA249" s="3">
        <f t="shared" si="67"/>
        <v>60</v>
      </c>
      <c r="AB249" t="str">
        <f t="shared" si="66"/>
        <v>28B0AA</v>
      </c>
    </row>
    <row r="250" spans="14:28">
      <c r="N250">
        <v>248</v>
      </c>
      <c r="O250">
        <f t="shared" si="58"/>
        <v>480</v>
      </c>
      <c r="P250">
        <f t="shared" si="60"/>
        <v>2480</v>
      </c>
      <c r="Q250">
        <f t="shared" si="61"/>
        <v>200</v>
      </c>
      <c r="R250" s="4">
        <f t="shared" si="62"/>
        <v>800000</v>
      </c>
      <c r="S250" s="3">
        <f t="shared" si="63"/>
        <v>200</v>
      </c>
      <c r="T250" t="str">
        <f t="shared" si="64"/>
        <v>C3500</v>
      </c>
      <c r="V250">
        <v>248</v>
      </c>
      <c r="W250">
        <f t="shared" si="54"/>
        <v>380</v>
      </c>
      <c r="X250">
        <f t="shared" si="56"/>
        <v>2480</v>
      </c>
      <c r="Y250">
        <f t="shared" si="55"/>
        <v>60</v>
      </c>
      <c r="Z250" s="4">
        <f t="shared" si="67"/>
        <v>2666666.6666666665</v>
      </c>
      <c r="AA250" s="3">
        <f t="shared" si="67"/>
        <v>60</v>
      </c>
      <c r="AB250" t="str">
        <f t="shared" si="66"/>
        <v>28B0AA</v>
      </c>
    </row>
    <row r="251" spans="14:28">
      <c r="N251">
        <v>249</v>
      </c>
      <c r="O251">
        <f t="shared" si="58"/>
        <v>490</v>
      </c>
      <c r="P251">
        <f t="shared" si="60"/>
        <v>2490</v>
      </c>
      <c r="Q251">
        <f t="shared" si="61"/>
        <v>200</v>
      </c>
      <c r="R251" s="4">
        <f t="shared" si="62"/>
        <v>800000</v>
      </c>
      <c r="S251" s="3">
        <f t="shared" si="63"/>
        <v>200</v>
      </c>
      <c r="T251" t="str">
        <f t="shared" si="64"/>
        <v>C3500</v>
      </c>
      <c r="V251">
        <v>249</v>
      </c>
      <c r="W251">
        <f t="shared" si="54"/>
        <v>390</v>
      </c>
      <c r="X251">
        <f t="shared" si="56"/>
        <v>2490</v>
      </c>
      <c r="Y251">
        <f t="shared" si="55"/>
        <v>60</v>
      </c>
      <c r="Z251" s="4">
        <f t="shared" si="67"/>
        <v>2666666.6666666665</v>
      </c>
      <c r="AA251" s="3">
        <f t="shared" si="67"/>
        <v>60</v>
      </c>
      <c r="AB251" t="str">
        <f t="shared" si="66"/>
        <v>28B0AA</v>
      </c>
    </row>
    <row r="252" spans="14:28">
      <c r="N252">
        <v>250</v>
      </c>
      <c r="O252">
        <f t="shared" si="58"/>
        <v>500</v>
      </c>
      <c r="P252">
        <f t="shared" si="60"/>
        <v>2500</v>
      </c>
      <c r="Q252">
        <f t="shared" si="61"/>
        <v>200</v>
      </c>
      <c r="R252" s="4">
        <f t="shared" si="62"/>
        <v>800000</v>
      </c>
      <c r="S252" s="3">
        <f t="shared" si="63"/>
        <v>200</v>
      </c>
      <c r="T252" t="str">
        <f t="shared" si="64"/>
        <v>C3500</v>
      </c>
      <c r="V252">
        <v>250</v>
      </c>
      <c r="W252">
        <f t="shared" si="54"/>
        <v>400</v>
      </c>
      <c r="X252">
        <f t="shared" si="56"/>
        <v>2500</v>
      </c>
      <c r="Y252">
        <f t="shared" si="55"/>
        <v>60</v>
      </c>
      <c r="Z252" s="4">
        <f t="shared" si="67"/>
        <v>2666666.6666666665</v>
      </c>
      <c r="AA252" s="3">
        <f t="shared" si="67"/>
        <v>60</v>
      </c>
      <c r="AB252" t="str">
        <f t="shared" si="66"/>
        <v>28B0AA</v>
      </c>
    </row>
    <row r="253" spans="14:28">
      <c r="N253">
        <v>251</v>
      </c>
      <c r="O253">
        <f t="shared" si="58"/>
        <v>510</v>
      </c>
      <c r="P253">
        <f t="shared" si="60"/>
        <v>2510</v>
      </c>
      <c r="Q253">
        <f t="shared" si="61"/>
        <v>200</v>
      </c>
      <c r="R253" s="4">
        <f t="shared" si="62"/>
        <v>800000</v>
      </c>
      <c r="S253" s="3">
        <f t="shared" si="63"/>
        <v>200</v>
      </c>
      <c r="T253" t="str">
        <f t="shared" si="64"/>
        <v>C3500</v>
      </c>
      <c r="V253">
        <v>251</v>
      </c>
      <c r="W253">
        <f t="shared" si="54"/>
        <v>410</v>
      </c>
      <c r="X253">
        <f t="shared" si="56"/>
        <v>2510</v>
      </c>
      <c r="Y253">
        <f t="shared" si="55"/>
        <v>60</v>
      </c>
      <c r="Z253" s="4">
        <f t="shared" si="67"/>
        <v>2666666.6666666665</v>
      </c>
      <c r="AA253" s="3">
        <f t="shared" si="67"/>
        <v>60</v>
      </c>
      <c r="AB253" t="str">
        <f t="shared" si="66"/>
        <v>28B0AA</v>
      </c>
    </row>
    <row r="254" spans="14:28">
      <c r="N254">
        <v>252</v>
      </c>
      <c r="O254">
        <f t="shared" si="58"/>
        <v>520</v>
      </c>
      <c r="P254">
        <f t="shared" si="60"/>
        <v>2520</v>
      </c>
      <c r="Q254">
        <f t="shared" si="61"/>
        <v>200</v>
      </c>
      <c r="R254" s="4">
        <f t="shared" si="62"/>
        <v>800000</v>
      </c>
      <c r="S254" s="3">
        <f t="shared" si="63"/>
        <v>200</v>
      </c>
      <c r="T254" t="str">
        <f t="shared" si="64"/>
        <v>C3500</v>
      </c>
      <c r="V254">
        <v>252</v>
      </c>
      <c r="W254">
        <f t="shared" si="54"/>
        <v>420</v>
      </c>
      <c r="X254">
        <f t="shared" si="56"/>
        <v>2520</v>
      </c>
      <c r="Y254">
        <f t="shared" si="55"/>
        <v>60</v>
      </c>
      <c r="Z254" s="4">
        <f t="shared" si="67"/>
        <v>2666666.6666666665</v>
      </c>
      <c r="AA254" s="3">
        <f t="shared" si="67"/>
        <v>60</v>
      </c>
      <c r="AB254" t="str">
        <f t="shared" si="66"/>
        <v>28B0AA</v>
      </c>
    </row>
    <row r="255" spans="14:28">
      <c r="N255">
        <v>253</v>
      </c>
      <c r="O255">
        <f t="shared" si="58"/>
        <v>530</v>
      </c>
      <c r="P255">
        <f t="shared" si="60"/>
        <v>2530</v>
      </c>
      <c r="Q255">
        <f t="shared" si="61"/>
        <v>200</v>
      </c>
      <c r="R255" s="4">
        <f t="shared" si="62"/>
        <v>800000</v>
      </c>
      <c r="S255" s="3">
        <f t="shared" si="63"/>
        <v>200</v>
      </c>
      <c r="T255" t="str">
        <f t="shared" si="64"/>
        <v>C3500</v>
      </c>
      <c r="V255">
        <v>253</v>
      </c>
      <c r="W255">
        <f t="shared" ref="W255:W318" si="68">MOD(X255,$A$14+$A$15)</f>
        <v>430</v>
      </c>
      <c r="X255">
        <f t="shared" si="56"/>
        <v>2530</v>
      </c>
      <c r="Y255">
        <f t="shared" ref="Y255:Y318" si="69">IF(W255&gt;$A$14,0,IF(W255&lt;$A$13,W255/($A$13)*($A$11-$A$12)+$A$12,IF($A$14-W255&lt;$A$13,($A$14-W255)/($A$13)*($A$11-$A$12)+$A$12,$A$11)))</f>
        <v>60</v>
      </c>
      <c r="Z255" s="4">
        <f t="shared" si="67"/>
        <v>2666666.6666666665</v>
      </c>
      <c r="AA255" s="3">
        <f t="shared" si="67"/>
        <v>60</v>
      </c>
      <c r="AB255" t="str">
        <f t="shared" si="66"/>
        <v>28B0AA</v>
      </c>
    </row>
    <row r="256" spans="14:28">
      <c r="N256">
        <v>254</v>
      </c>
      <c r="O256">
        <f t="shared" si="58"/>
        <v>540</v>
      </c>
      <c r="P256">
        <f t="shared" si="60"/>
        <v>2540</v>
      </c>
      <c r="Q256">
        <f t="shared" si="61"/>
        <v>200</v>
      </c>
      <c r="R256" s="4">
        <f t="shared" si="62"/>
        <v>800000</v>
      </c>
      <c r="S256" s="3">
        <f t="shared" si="63"/>
        <v>200</v>
      </c>
      <c r="T256" t="str">
        <f t="shared" si="64"/>
        <v>C3500</v>
      </c>
      <c r="V256">
        <v>254</v>
      </c>
      <c r="W256">
        <f t="shared" si="68"/>
        <v>440</v>
      </c>
      <c r="X256">
        <f t="shared" ref="X256:X319" si="70">V256*10</f>
        <v>2540</v>
      </c>
      <c r="Y256">
        <f t="shared" si="69"/>
        <v>60</v>
      </c>
      <c r="Z256" s="4">
        <f t="shared" si="67"/>
        <v>2666666.6666666665</v>
      </c>
      <c r="AA256" s="3">
        <f t="shared" si="67"/>
        <v>60</v>
      </c>
      <c r="AB256" t="str">
        <f t="shared" si="66"/>
        <v>28B0AA</v>
      </c>
    </row>
    <row r="257" spans="14:28">
      <c r="N257">
        <v>255</v>
      </c>
      <c r="O257">
        <f t="shared" si="58"/>
        <v>550</v>
      </c>
      <c r="P257">
        <f t="shared" si="60"/>
        <v>2550</v>
      </c>
      <c r="Q257">
        <f t="shared" si="61"/>
        <v>200</v>
      </c>
      <c r="R257" s="4">
        <f t="shared" si="62"/>
        <v>800000</v>
      </c>
      <c r="S257" s="3">
        <f t="shared" si="63"/>
        <v>200</v>
      </c>
      <c r="T257" t="str">
        <f t="shared" si="64"/>
        <v>C3500</v>
      </c>
      <c r="V257">
        <v>255</v>
      </c>
      <c r="W257">
        <f t="shared" si="68"/>
        <v>450</v>
      </c>
      <c r="X257">
        <f t="shared" si="70"/>
        <v>2550</v>
      </c>
      <c r="Y257">
        <f t="shared" si="69"/>
        <v>60</v>
      </c>
      <c r="Z257" s="4">
        <f t="shared" si="67"/>
        <v>2666666.6666666665</v>
      </c>
      <c r="AA257" s="3">
        <f t="shared" si="67"/>
        <v>60</v>
      </c>
      <c r="AB257" t="str">
        <f t="shared" si="66"/>
        <v>28B0AA</v>
      </c>
    </row>
    <row r="258" spans="14:28">
      <c r="N258">
        <v>256</v>
      </c>
      <c r="O258">
        <f t="shared" si="58"/>
        <v>560</v>
      </c>
      <c r="P258">
        <f t="shared" si="60"/>
        <v>2560</v>
      </c>
      <c r="Q258">
        <f t="shared" si="61"/>
        <v>200</v>
      </c>
      <c r="R258" s="4">
        <f t="shared" si="62"/>
        <v>800000</v>
      </c>
      <c r="S258" s="3">
        <f t="shared" si="63"/>
        <v>200</v>
      </c>
      <c r="T258" t="str">
        <f t="shared" si="64"/>
        <v>C3500</v>
      </c>
      <c r="V258">
        <v>256</v>
      </c>
      <c r="W258">
        <f t="shared" si="68"/>
        <v>460</v>
      </c>
      <c r="X258">
        <f t="shared" si="70"/>
        <v>2560</v>
      </c>
      <c r="Y258">
        <f t="shared" si="69"/>
        <v>60</v>
      </c>
      <c r="Z258" s="4">
        <f t="shared" si="67"/>
        <v>2666666.6666666665</v>
      </c>
      <c r="AA258" s="3">
        <f t="shared" si="67"/>
        <v>60</v>
      </c>
      <c r="AB258" t="str">
        <f t="shared" si="66"/>
        <v>28B0AA</v>
      </c>
    </row>
    <row r="259" spans="14:28">
      <c r="N259">
        <v>257</v>
      </c>
      <c r="O259">
        <f t="shared" ref="O259:O322" si="71">MOD(P259,$A$5+$A$6)</f>
        <v>570</v>
      </c>
      <c r="P259">
        <f t="shared" si="60"/>
        <v>2570</v>
      </c>
      <c r="Q259">
        <f t="shared" si="61"/>
        <v>200</v>
      </c>
      <c r="R259" s="4">
        <f t="shared" si="62"/>
        <v>800000</v>
      </c>
      <c r="S259" s="3">
        <f t="shared" si="63"/>
        <v>200</v>
      </c>
      <c r="T259" t="str">
        <f t="shared" si="64"/>
        <v>C3500</v>
      </c>
      <c r="V259">
        <v>257</v>
      </c>
      <c r="W259">
        <f t="shared" si="68"/>
        <v>470</v>
      </c>
      <c r="X259">
        <f t="shared" si="70"/>
        <v>2570</v>
      </c>
      <c r="Y259">
        <f t="shared" si="69"/>
        <v>60</v>
      </c>
      <c r="Z259" s="4">
        <f t="shared" ref="Z259:AA278" si="72">IFERROR(160*1000*1000/Y259,0)</f>
        <v>2666666.6666666665</v>
      </c>
      <c r="AA259" s="3">
        <f t="shared" si="72"/>
        <v>60</v>
      </c>
      <c r="AB259" t="str">
        <f t="shared" si="66"/>
        <v>28B0AA</v>
      </c>
    </row>
    <row r="260" spans="14:28">
      <c r="N260">
        <v>258</v>
      </c>
      <c r="O260">
        <f t="shared" si="71"/>
        <v>580</v>
      </c>
      <c r="P260">
        <f t="shared" si="60"/>
        <v>2580</v>
      </c>
      <c r="Q260">
        <f t="shared" si="61"/>
        <v>200</v>
      </c>
      <c r="R260" s="4">
        <f t="shared" si="62"/>
        <v>800000</v>
      </c>
      <c r="S260" s="3">
        <f t="shared" si="63"/>
        <v>200</v>
      </c>
      <c r="T260" t="str">
        <f t="shared" si="64"/>
        <v>C3500</v>
      </c>
      <c r="V260">
        <v>258</v>
      </c>
      <c r="W260">
        <f t="shared" si="68"/>
        <v>480</v>
      </c>
      <c r="X260">
        <f t="shared" si="70"/>
        <v>2580</v>
      </c>
      <c r="Y260">
        <f t="shared" si="69"/>
        <v>60</v>
      </c>
      <c r="Z260" s="4">
        <f t="shared" si="72"/>
        <v>2666666.6666666665</v>
      </c>
      <c r="AA260" s="3">
        <f t="shared" si="72"/>
        <v>60</v>
      </c>
      <c r="AB260" t="str">
        <f t="shared" si="66"/>
        <v>28B0AA</v>
      </c>
    </row>
    <row r="261" spans="14:28">
      <c r="N261">
        <v>259</v>
      </c>
      <c r="O261">
        <f t="shared" si="71"/>
        <v>590</v>
      </c>
      <c r="P261">
        <f t="shared" si="60"/>
        <v>2590</v>
      </c>
      <c r="Q261">
        <f t="shared" si="61"/>
        <v>200</v>
      </c>
      <c r="R261" s="4">
        <f t="shared" si="62"/>
        <v>800000</v>
      </c>
      <c r="S261" s="3">
        <f t="shared" si="63"/>
        <v>200</v>
      </c>
      <c r="T261" t="str">
        <f t="shared" si="64"/>
        <v>C3500</v>
      </c>
      <c r="V261">
        <v>259</v>
      </c>
      <c r="W261">
        <f t="shared" si="68"/>
        <v>490</v>
      </c>
      <c r="X261">
        <f t="shared" si="70"/>
        <v>2590</v>
      </c>
      <c r="Y261">
        <f t="shared" si="69"/>
        <v>60</v>
      </c>
      <c r="Z261" s="4">
        <f t="shared" si="72"/>
        <v>2666666.6666666665</v>
      </c>
      <c r="AA261" s="3">
        <f t="shared" si="72"/>
        <v>60</v>
      </c>
      <c r="AB261" t="str">
        <f t="shared" si="66"/>
        <v>28B0AA</v>
      </c>
    </row>
    <row r="262" spans="14:28">
      <c r="N262">
        <v>260</v>
      </c>
      <c r="O262">
        <f t="shared" si="71"/>
        <v>600</v>
      </c>
      <c r="P262">
        <f t="shared" si="60"/>
        <v>2600</v>
      </c>
      <c r="Q262">
        <f t="shared" si="61"/>
        <v>200</v>
      </c>
      <c r="R262" s="4">
        <f t="shared" si="62"/>
        <v>800000</v>
      </c>
      <c r="S262" s="3">
        <f t="shared" si="63"/>
        <v>200</v>
      </c>
      <c r="T262" t="str">
        <f t="shared" si="64"/>
        <v>C3500</v>
      </c>
      <c r="V262">
        <v>260</v>
      </c>
      <c r="W262">
        <f t="shared" si="68"/>
        <v>500</v>
      </c>
      <c r="X262">
        <f t="shared" si="70"/>
        <v>2600</v>
      </c>
      <c r="Y262">
        <f t="shared" si="69"/>
        <v>60</v>
      </c>
      <c r="Z262" s="4">
        <f t="shared" si="72"/>
        <v>2666666.6666666665</v>
      </c>
      <c r="AA262" s="3">
        <f t="shared" si="72"/>
        <v>60</v>
      </c>
      <c r="AB262" t="str">
        <f t="shared" si="66"/>
        <v>28B0AA</v>
      </c>
    </row>
    <row r="263" spans="14:28">
      <c r="N263">
        <v>261</v>
      </c>
      <c r="O263">
        <f t="shared" si="71"/>
        <v>610</v>
      </c>
      <c r="P263">
        <f t="shared" si="60"/>
        <v>2610</v>
      </c>
      <c r="Q263">
        <f t="shared" si="61"/>
        <v>200</v>
      </c>
      <c r="R263" s="4">
        <f t="shared" si="62"/>
        <v>800000</v>
      </c>
      <c r="S263" s="3">
        <f t="shared" si="63"/>
        <v>200</v>
      </c>
      <c r="T263" t="str">
        <f t="shared" si="64"/>
        <v>C3500</v>
      </c>
      <c r="V263">
        <v>261</v>
      </c>
      <c r="W263">
        <f t="shared" si="68"/>
        <v>510</v>
      </c>
      <c r="X263">
        <f t="shared" si="70"/>
        <v>2610</v>
      </c>
      <c r="Y263">
        <f t="shared" si="69"/>
        <v>60</v>
      </c>
      <c r="Z263" s="4">
        <f t="shared" si="72"/>
        <v>2666666.6666666665</v>
      </c>
      <c r="AA263" s="3">
        <f t="shared" si="72"/>
        <v>60</v>
      </c>
      <c r="AB263" t="str">
        <f t="shared" si="66"/>
        <v>28B0AA</v>
      </c>
    </row>
    <row r="264" spans="14:28">
      <c r="N264">
        <v>262</v>
      </c>
      <c r="O264">
        <f t="shared" si="71"/>
        <v>620</v>
      </c>
      <c r="P264">
        <f t="shared" si="60"/>
        <v>2620</v>
      </c>
      <c r="Q264">
        <f t="shared" si="61"/>
        <v>200</v>
      </c>
      <c r="R264" s="4">
        <f t="shared" si="62"/>
        <v>800000</v>
      </c>
      <c r="S264" s="3">
        <f t="shared" si="63"/>
        <v>200</v>
      </c>
      <c r="T264" t="str">
        <f t="shared" si="64"/>
        <v>C3500</v>
      </c>
      <c r="V264">
        <v>262</v>
      </c>
      <c r="W264">
        <f t="shared" si="68"/>
        <v>520</v>
      </c>
      <c r="X264">
        <f t="shared" si="70"/>
        <v>2620</v>
      </c>
      <c r="Y264">
        <f t="shared" si="69"/>
        <v>60</v>
      </c>
      <c r="Z264" s="4">
        <f t="shared" si="72"/>
        <v>2666666.6666666665</v>
      </c>
      <c r="AA264" s="3">
        <f t="shared" si="72"/>
        <v>60</v>
      </c>
      <c r="AB264" t="str">
        <f t="shared" si="66"/>
        <v>28B0AA</v>
      </c>
    </row>
    <row r="265" spans="14:28">
      <c r="N265">
        <v>263</v>
      </c>
      <c r="O265">
        <f t="shared" si="71"/>
        <v>630</v>
      </c>
      <c r="P265">
        <f t="shared" si="60"/>
        <v>2630</v>
      </c>
      <c r="Q265">
        <f t="shared" si="61"/>
        <v>200</v>
      </c>
      <c r="R265" s="4">
        <f t="shared" si="62"/>
        <v>800000</v>
      </c>
      <c r="S265" s="3">
        <f t="shared" si="63"/>
        <v>200</v>
      </c>
      <c r="T265" t="str">
        <f t="shared" si="64"/>
        <v>C3500</v>
      </c>
      <c r="V265">
        <v>263</v>
      </c>
      <c r="W265">
        <f t="shared" si="68"/>
        <v>530</v>
      </c>
      <c r="X265">
        <f t="shared" si="70"/>
        <v>2630</v>
      </c>
      <c r="Y265">
        <f t="shared" si="69"/>
        <v>60</v>
      </c>
      <c r="Z265" s="4">
        <f t="shared" si="72"/>
        <v>2666666.6666666665</v>
      </c>
      <c r="AA265" s="3">
        <f t="shared" si="72"/>
        <v>60</v>
      </c>
      <c r="AB265" t="str">
        <f t="shared" si="66"/>
        <v>28B0AA</v>
      </c>
    </row>
    <row r="266" spans="14:28">
      <c r="N266">
        <v>264</v>
      </c>
      <c r="O266">
        <f t="shared" si="71"/>
        <v>640</v>
      </c>
      <c r="P266">
        <f t="shared" si="60"/>
        <v>2640</v>
      </c>
      <c r="Q266">
        <f t="shared" si="61"/>
        <v>200</v>
      </c>
      <c r="R266" s="4">
        <f t="shared" si="62"/>
        <v>800000</v>
      </c>
      <c r="S266" s="3">
        <f t="shared" si="63"/>
        <v>200</v>
      </c>
      <c r="T266" t="str">
        <f t="shared" si="64"/>
        <v>C3500</v>
      </c>
      <c r="V266">
        <v>264</v>
      </c>
      <c r="W266">
        <f t="shared" si="68"/>
        <v>540</v>
      </c>
      <c r="X266">
        <f t="shared" si="70"/>
        <v>2640</v>
      </c>
      <c r="Y266">
        <f t="shared" si="69"/>
        <v>60</v>
      </c>
      <c r="Z266" s="4">
        <f t="shared" si="72"/>
        <v>2666666.6666666665</v>
      </c>
      <c r="AA266" s="3">
        <f t="shared" si="72"/>
        <v>60</v>
      </c>
      <c r="AB266" t="str">
        <f t="shared" si="66"/>
        <v>28B0AA</v>
      </c>
    </row>
    <row r="267" spans="14:28">
      <c r="N267">
        <v>265</v>
      </c>
      <c r="O267">
        <f t="shared" si="71"/>
        <v>650</v>
      </c>
      <c r="P267">
        <f t="shared" ref="P267:P330" si="73">N267*10</f>
        <v>2650</v>
      </c>
      <c r="Q267">
        <f t="shared" ref="Q267:Q330" si="74">IF(O267&gt;$A$5,0,IF(O267&lt;$A$4,O267/($A$4)*($A$2-$A$3)+$A$3,IF($A$5-O267&lt;$A$4,($A$5-O267)/($A$4)*($A$2-$A$3)+$A$3,$A$2)))</f>
        <v>200</v>
      </c>
      <c r="R267" s="4">
        <f t="shared" ref="R267:R330" si="75">IFERROR(160*1000*1000/Q267,0)</f>
        <v>800000</v>
      </c>
      <c r="S267" s="3">
        <f t="shared" ref="S267:S330" si="76">IFERROR(160*1000*1000/R267,0)</f>
        <v>200</v>
      </c>
      <c r="T267" t="str">
        <f t="shared" ref="T267:T330" si="77">DEC2HEX(R267)</f>
        <v>C3500</v>
      </c>
      <c r="V267">
        <v>265</v>
      </c>
      <c r="W267">
        <f t="shared" si="68"/>
        <v>550</v>
      </c>
      <c r="X267">
        <f t="shared" si="70"/>
        <v>2650</v>
      </c>
      <c r="Y267">
        <f t="shared" si="69"/>
        <v>60</v>
      </c>
      <c r="Z267" s="4">
        <f t="shared" si="72"/>
        <v>2666666.6666666665</v>
      </c>
      <c r="AA267" s="3">
        <f t="shared" si="72"/>
        <v>60</v>
      </c>
      <c r="AB267" t="str">
        <f t="shared" si="66"/>
        <v>28B0AA</v>
      </c>
    </row>
    <row r="268" spans="14:28">
      <c r="N268">
        <v>266</v>
      </c>
      <c r="O268">
        <f t="shared" si="71"/>
        <v>660</v>
      </c>
      <c r="P268">
        <f t="shared" si="73"/>
        <v>2660</v>
      </c>
      <c r="Q268">
        <f t="shared" si="74"/>
        <v>200</v>
      </c>
      <c r="R268" s="4">
        <f t="shared" si="75"/>
        <v>800000</v>
      </c>
      <c r="S268" s="3">
        <f t="shared" si="76"/>
        <v>200</v>
      </c>
      <c r="T268" t="str">
        <f t="shared" si="77"/>
        <v>C3500</v>
      </c>
      <c r="V268">
        <v>266</v>
      </c>
      <c r="W268">
        <f t="shared" si="68"/>
        <v>560</v>
      </c>
      <c r="X268">
        <f t="shared" si="70"/>
        <v>2660</v>
      </c>
      <c r="Y268">
        <f t="shared" si="69"/>
        <v>60</v>
      </c>
      <c r="Z268" s="4">
        <f t="shared" si="72"/>
        <v>2666666.6666666665</v>
      </c>
      <c r="AA268" s="3">
        <f t="shared" si="72"/>
        <v>60</v>
      </c>
      <c r="AB268" t="str">
        <f t="shared" si="66"/>
        <v>28B0AA</v>
      </c>
    </row>
    <row r="269" spans="14:28">
      <c r="N269">
        <v>267</v>
      </c>
      <c r="O269">
        <f t="shared" si="71"/>
        <v>670</v>
      </c>
      <c r="P269">
        <f t="shared" si="73"/>
        <v>2670</v>
      </c>
      <c r="Q269">
        <f t="shared" si="74"/>
        <v>200</v>
      </c>
      <c r="R269" s="4">
        <f t="shared" si="75"/>
        <v>800000</v>
      </c>
      <c r="S269" s="3">
        <f t="shared" si="76"/>
        <v>200</v>
      </c>
      <c r="T269" t="str">
        <f t="shared" si="77"/>
        <v>C3500</v>
      </c>
      <c r="V269">
        <v>267</v>
      </c>
      <c r="W269">
        <f t="shared" si="68"/>
        <v>570</v>
      </c>
      <c r="X269">
        <f t="shared" si="70"/>
        <v>2670</v>
      </c>
      <c r="Y269">
        <f t="shared" si="69"/>
        <v>60</v>
      </c>
      <c r="Z269" s="4">
        <f t="shared" si="72"/>
        <v>2666666.6666666665</v>
      </c>
      <c r="AA269" s="3">
        <f t="shared" si="72"/>
        <v>60</v>
      </c>
      <c r="AB269" t="str">
        <f t="shared" si="66"/>
        <v>28B0AA</v>
      </c>
    </row>
    <row r="270" spans="14:28">
      <c r="N270">
        <v>268</v>
      </c>
      <c r="O270">
        <f t="shared" si="71"/>
        <v>680</v>
      </c>
      <c r="P270">
        <f t="shared" si="73"/>
        <v>2680</v>
      </c>
      <c r="Q270">
        <f t="shared" si="74"/>
        <v>200</v>
      </c>
      <c r="R270" s="4">
        <f t="shared" si="75"/>
        <v>800000</v>
      </c>
      <c r="S270" s="3">
        <f t="shared" si="76"/>
        <v>200</v>
      </c>
      <c r="T270" t="str">
        <f t="shared" si="77"/>
        <v>C3500</v>
      </c>
      <c r="V270">
        <v>268</v>
      </c>
      <c r="W270">
        <f t="shared" si="68"/>
        <v>580</v>
      </c>
      <c r="X270">
        <f t="shared" si="70"/>
        <v>2680</v>
      </c>
      <c r="Y270">
        <f t="shared" si="69"/>
        <v>60</v>
      </c>
      <c r="Z270" s="4">
        <f t="shared" si="72"/>
        <v>2666666.6666666665</v>
      </c>
      <c r="AA270" s="3">
        <f t="shared" si="72"/>
        <v>60</v>
      </c>
      <c r="AB270" t="str">
        <f t="shared" si="66"/>
        <v>28B0AA</v>
      </c>
    </row>
    <row r="271" spans="14:28">
      <c r="N271">
        <v>269</v>
      </c>
      <c r="O271">
        <f t="shared" si="71"/>
        <v>690</v>
      </c>
      <c r="P271">
        <f t="shared" si="73"/>
        <v>2690</v>
      </c>
      <c r="Q271">
        <f t="shared" si="74"/>
        <v>200</v>
      </c>
      <c r="R271" s="4">
        <f t="shared" si="75"/>
        <v>800000</v>
      </c>
      <c r="S271" s="3">
        <f t="shared" si="76"/>
        <v>200</v>
      </c>
      <c r="T271" t="str">
        <f t="shared" si="77"/>
        <v>C3500</v>
      </c>
      <c r="V271">
        <v>269</v>
      </c>
      <c r="W271">
        <f t="shared" si="68"/>
        <v>590</v>
      </c>
      <c r="X271">
        <f t="shared" si="70"/>
        <v>2690</v>
      </c>
      <c r="Y271">
        <f t="shared" si="69"/>
        <v>60</v>
      </c>
      <c r="Z271" s="4">
        <f t="shared" si="72"/>
        <v>2666666.6666666665</v>
      </c>
      <c r="AA271" s="3">
        <f t="shared" si="72"/>
        <v>60</v>
      </c>
      <c r="AB271" t="str">
        <f t="shared" si="66"/>
        <v>28B0AA</v>
      </c>
    </row>
    <row r="272" spans="14:28">
      <c r="N272">
        <v>270</v>
      </c>
      <c r="O272">
        <f t="shared" si="71"/>
        <v>700</v>
      </c>
      <c r="P272">
        <f t="shared" si="73"/>
        <v>2700</v>
      </c>
      <c r="Q272">
        <f t="shared" si="74"/>
        <v>200</v>
      </c>
      <c r="R272" s="4">
        <f t="shared" si="75"/>
        <v>800000</v>
      </c>
      <c r="S272" s="3">
        <f t="shared" si="76"/>
        <v>200</v>
      </c>
      <c r="T272" t="str">
        <f t="shared" si="77"/>
        <v>C3500</v>
      </c>
      <c r="V272">
        <v>270</v>
      </c>
      <c r="W272">
        <f t="shared" si="68"/>
        <v>600</v>
      </c>
      <c r="X272">
        <f t="shared" si="70"/>
        <v>2700</v>
      </c>
      <c r="Y272">
        <f t="shared" si="69"/>
        <v>60</v>
      </c>
      <c r="Z272" s="4">
        <f t="shared" si="72"/>
        <v>2666666.6666666665</v>
      </c>
      <c r="AA272" s="3">
        <f t="shared" si="72"/>
        <v>60</v>
      </c>
      <c r="AB272" t="str">
        <f t="shared" si="66"/>
        <v>28B0AA</v>
      </c>
    </row>
    <row r="273" spans="14:28">
      <c r="N273">
        <v>271</v>
      </c>
      <c r="O273">
        <f t="shared" si="71"/>
        <v>710</v>
      </c>
      <c r="P273">
        <f t="shared" si="73"/>
        <v>2710</v>
      </c>
      <c r="Q273">
        <f t="shared" si="74"/>
        <v>200</v>
      </c>
      <c r="R273" s="4">
        <f t="shared" si="75"/>
        <v>800000</v>
      </c>
      <c r="S273" s="3">
        <f t="shared" si="76"/>
        <v>200</v>
      </c>
      <c r="T273" t="str">
        <f t="shared" si="77"/>
        <v>C3500</v>
      </c>
      <c r="V273">
        <v>271</v>
      </c>
      <c r="W273">
        <f t="shared" si="68"/>
        <v>610</v>
      </c>
      <c r="X273">
        <f t="shared" si="70"/>
        <v>2710</v>
      </c>
      <c r="Y273">
        <f t="shared" si="69"/>
        <v>60</v>
      </c>
      <c r="Z273" s="4">
        <f t="shared" si="72"/>
        <v>2666666.6666666665</v>
      </c>
      <c r="AA273" s="3">
        <f t="shared" si="72"/>
        <v>60</v>
      </c>
      <c r="AB273" t="str">
        <f t="shared" si="66"/>
        <v>28B0AA</v>
      </c>
    </row>
    <row r="274" spans="14:28">
      <c r="N274">
        <v>272</v>
      </c>
      <c r="O274">
        <f t="shared" si="71"/>
        <v>720</v>
      </c>
      <c r="P274">
        <f t="shared" si="73"/>
        <v>2720</v>
      </c>
      <c r="Q274">
        <f t="shared" si="74"/>
        <v>200</v>
      </c>
      <c r="R274" s="4">
        <f t="shared" si="75"/>
        <v>800000</v>
      </c>
      <c r="S274" s="3">
        <f t="shared" si="76"/>
        <v>200</v>
      </c>
      <c r="T274" t="str">
        <f t="shared" si="77"/>
        <v>C3500</v>
      </c>
      <c r="V274">
        <v>272</v>
      </c>
      <c r="W274">
        <f t="shared" si="68"/>
        <v>620</v>
      </c>
      <c r="X274">
        <f t="shared" si="70"/>
        <v>2720</v>
      </c>
      <c r="Y274">
        <f t="shared" si="69"/>
        <v>60</v>
      </c>
      <c r="Z274" s="4">
        <f t="shared" si="72"/>
        <v>2666666.6666666665</v>
      </c>
      <c r="AA274" s="3">
        <f t="shared" si="72"/>
        <v>60</v>
      </c>
      <c r="AB274" t="str">
        <f t="shared" si="66"/>
        <v>28B0AA</v>
      </c>
    </row>
    <row r="275" spans="14:28">
      <c r="N275">
        <v>273</v>
      </c>
      <c r="O275">
        <f t="shared" si="71"/>
        <v>730</v>
      </c>
      <c r="P275">
        <f t="shared" si="73"/>
        <v>2730</v>
      </c>
      <c r="Q275">
        <f t="shared" si="74"/>
        <v>200</v>
      </c>
      <c r="R275" s="4">
        <f t="shared" si="75"/>
        <v>800000</v>
      </c>
      <c r="S275" s="3">
        <f t="shared" si="76"/>
        <v>200</v>
      </c>
      <c r="T275" t="str">
        <f t="shared" si="77"/>
        <v>C3500</v>
      </c>
      <c r="V275">
        <v>273</v>
      </c>
      <c r="W275">
        <f t="shared" si="68"/>
        <v>630</v>
      </c>
      <c r="X275">
        <f t="shared" si="70"/>
        <v>2730</v>
      </c>
      <c r="Y275">
        <f t="shared" si="69"/>
        <v>60</v>
      </c>
      <c r="Z275" s="4">
        <f t="shared" si="72"/>
        <v>2666666.6666666665</v>
      </c>
      <c r="AA275" s="3">
        <f t="shared" si="72"/>
        <v>60</v>
      </c>
      <c r="AB275" t="str">
        <f t="shared" si="66"/>
        <v>28B0AA</v>
      </c>
    </row>
    <row r="276" spans="14:28">
      <c r="N276">
        <v>274</v>
      </c>
      <c r="O276">
        <f t="shared" si="71"/>
        <v>740</v>
      </c>
      <c r="P276">
        <f t="shared" si="73"/>
        <v>2740</v>
      </c>
      <c r="Q276">
        <f t="shared" si="74"/>
        <v>200</v>
      </c>
      <c r="R276" s="4">
        <f t="shared" si="75"/>
        <v>800000</v>
      </c>
      <c r="S276" s="3">
        <f t="shared" si="76"/>
        <v>200</v>
      </c>
      <c r="T276" t="str">
        <f t="shared" si="77"/>
        <v>C3500</v>
      </c>
      <c r="V276">
        <v>274</v>
      </c>
      <c r="W276">
        <f t="shared" si="68"/>
        <v>640</v>
      </c>
      <c r="X276">
        <f t="shared" si="70"/>
        <v>2740</v>
      </c>
      <c r="Y276">
        <f t="shared" si="69"/>
        <v>60</v>
      </c>
      <c r="Z276" s="4">
        <f t="shared" si="72"/>
        <v>2666666.6666666665</v>
      </c>
      <c r="AA276" s="3">
        <f t="shared" si="72"/>
        <v>60</v>
      </c>
      <c r="AB276" t="str">
        <f t="shared" si="66"/>
        <v>28B0AA</v>
      </c>
    </row>
    <row r="277" spans="14:28">
      <c r="N277">
        <v>275</v>
      </c>
      <c r="O277">
        <f t="shared" si="71"/>
        <v>750</v>
      </c>
      <c r="P277">
        <f t="shared" si="73"/>
        <v>2750</v>
      </c>
      <c r="Q277">
        <f t="shared" si="74"/>
        <v>200</v>
      </c>
      <c r="R277" s="4">
        <f t="shared" si="75"/>
        <v>800000</v>
      </c>
      <c r="S277" s="3">
        <f t="shared" si="76"/>
        <v>200</v>
      </c>
      <c r="T277" t="str">
        <f t="shared" si="77"/>
        <v>C3500</v>
      </c>
      <c r="V277">
        <v>275</v>
      </c>
      <c r="W277">
        <f t="shared" si="68"/>
        <v>650</v>
      </c>
      <c r="X277">
        <f t="shared" si="70"/>
        <v>2750</v>
      </c>
      <c r="Y277">
        <f t="shared" si="69"/>
        <v>60</v>
      </c>
      <c r="Z277" s="4">
        <f t="shared" si="72"/>
        <v>2666666.6666666665</v>
      </c>
      <c r="AA277" s="3">
        <f t="shared" si="72"/>
        <v>60</v>
      </c>
      <c r="AB277" t="str">
        <f t="shared" si="66"/>
        <v>28B0AA</v>
      </c>
    </row>
    <row r="278" spans="14:28">
      <c r="N278">
        <v>276</v>
      </c>
      <c r="O278">
        <f t="shared" si="71"/>
        <v>760</v>
      </c>
      <c r="P278">
        <f t="shared" si="73"/>
        <v>2760</v>
      </c>
      <c r="Q278">
        <f t="shared" si="74"/>
        <v>200</v>
      </c>
      <c r="R278" s="4">
        <f t="shared" si="75"/>
        <v>800000</v>
      </c>
      <c r="S278" s="3">
        <f t="shared" si="76"/>
        <v>200</v>
      </c>
      <c r="T278" t="str">
        <f t="shared" si="77"/>
        <v>C3500</v>
      </c>
      <c r="V278">
        <v>276</v>
      </c>
      <c r="W278">
        <f t="shared" si="68"/>
        <v>660</v>
      </c>
      <c r="X278">
        <f t="shared" si="70"/>
        <v>2760</v>
      </c>
      <c r="Y278">
        <f t="shared" si="69"/>
        <v>60</v>
      </c>
      <c r="Z278" s="4">
        <f t="shared" si="72"/>
        <v>2666666.6666666665</v>
      </c>
      <c r="AA278" s="3">
        <f t="shared" si="72"/>
        <v>60</v>
      </c>
      <c r="AB278" t="str">
        <f t="shared" si="66"/>
        <v>28B0AA</v>
      </c>
    </row>
    <row r="279" spans="14:28">
      <c r="N279">
        <v>277</v>
      </c>
      <c r="O279">
        <f t="shared" si="71"/>
        <v>770</v>
      </c>
      <c r="P279">
        <f t="shared" si="73"/>
        <v>2770</v>
      </c>
      <c r="Q279">
        <f t="shared" si="74"/>
        <v>200</v>
      </c>
      <c r="R279" s="4">
        <f t="shared" si="75"/>
        <v>800000</v>
      </c>
      <c r="S279" s="3">
        <f t="shared" si="76"/>
        <v>200</v>
      </c>
      <c r="T279" t="str">
        <f t="shared" si="77"/>
        <v>C3500</v>
      </c>
      <c r="V279">
        <v>277</v>
      </c>
      <c r="W279">
        <f t="shared" si="68"/>
        <v>670</v>
      </c>
      <c r="X279">
        <f t="shared" si="70"/>
        <v>2770</v>
      </c>
      <c r="Y279">
        <f t="shared" si="69"/>
        <v>60</v>
      </c>
      <c r="Z279" s="4">
        <f t="shared" ref="Z279:AA298" si="78">IFERROR(160*1000*1000/Y279,0)</f>
        <v>2666666.6666666665</v>
      </c>
      <c r="AA279" s="3">
        <f t="shared" si="78"/>
        <v>60</v>
      </c>
      <c r="AB279" t="str">
        <f t="shared" si="66"/>
        <v>28B0AA</v>
      </c>
    </row>
    <row r="280" spans="14:28">
      <c r="N280">
        <v>278</v>
      </c>
      <c r="O280">
        <f t="shared" si="71"/>
        <v>780</v>
      </c>
      <c r="P280">
        <f t="shared" si="73"/>
        <v>2780</v>
      </c>
      <c r="Q280">
        <f t="shared" si="74"/>
        <v>200</v>
      </c>
      <c r="R280" s="4">
        <f t="shared" si="75"/>
        <v>800000</v>
      </c>
      <c r="S280" s="3">
        <f t="shared" si="76"/>
        <v>200</v>
      </c>
      <c r="T280" t="str">
        <f t="shared" si="77"/>
        <v>C3500</v>
      </c>
      <c r="V280">
        <v>278</v>
      </c>
      <c r="W280">
        <f t="shared" si="68"/>
        <v>680</v>
      </c>
      <c r="X280">
        <f t="shared" si="70"/>
        <v>2780</v>
      </c>
      <c r="Y280">
        <f t="shared" si="69"/>
        <v>60</v>
      </c>
      <c r="Z280" s="4">
        <f t="shared" si="78"/>
        <v>2666666.6666666665</v>
      </c>
      <c r="AA280" s="3">
        <f t="shared" si="78"/>
        <v>60</v>
      </c>
      <c r="AB280" t="str">
        <f t="shared" si="66"/>
        <v>28B0AA</v>
      </c>
    </row>
    <row r="281" spans="14:28">
      <c r="N281">
        <v>279</v>
      </c>
      <c r="O281">
        <f t="shared" si="71"/>
        <v>790</v>
      </c>
      <c r="P281">
        <f t="shared" si="73"/>
        <v>2790</v>
      </c>
      <c r="Q281">
        <f t="shared" si="74"/>
        <v>200</v>
      </c>
      <c r="R281" s="4">
        <f t="shared" si="75"/>
        <v>800000</v>
      </c>
      <c r="S281" s="3">
        <f t="shared" si="76"/>
        <v>200</v>
      </c>
      <c r="T281" t="str">
        <f t="shared" si="77"/>
        <v>C3500</v>
      </c>
      <c r="V281">
        <v>279</v>
      </c>
      <c r="W281">
        <f t="shared" si="68"/>
        <v>690</v>
      </c>
      <c r="X281">
        <f t="shared" si="70"/>
        <v>2790</v>
      </c>
      <c r="Y281">
        <f t="shared" si="69"/>
        <v>60</v>
      </c>
      <c r="Z281" s="4">
        <f t="shared" si="78"/>
        <v>2666666.6666666665</v>
      </c>
      <c r="AA281" s="3">
        <f t="shared" si="78"/>
        <v>60</v>
      </c>
      <c r="AB281" t="str">
        <f t="shared" si="66"/>
        <v>28B0AA</v>
      </c>
    </row>
    <row r="282" spans="14:28">
      <c r="N282">
        <v>280</v>
      </c>
      <c r="O282">
        <f t="shared" si="71"/>
        <v>800</v>
      </c>
      <c r="P282">
        <f t="shared" si="73"/>
        <v>2800</v>
      </c>
      <c r="Q282">
        <f t="shared" si="74"/>
        <v>200</v>
      </c>
      <c r="R282" s="4">
        <f t="shared" si="75"/>
        <v>800000</v>
      </c>
      <c r="S282" s="3">
        <f t="shared" si="76"/>
        <v>200</v>
      </c>
      <c r="T282" t="str">
        <f t="shared" si="77"/>
        <v>C3500</v>
      </c>
      <c r="V282">
        <v>280</v>
      </c>
      <c r="W282">
        <f t="shared" si="68"/>
        <v>700</v>
      </c>
      <c r="X282">
        <f t="shared" si="70"/>
        <v>2800</v>
      </c>
      <c r="Y282">
        <f t="shared" si="69"/>
        <v>60</v>
      </c>
      <c r="Z282" s="4">
        <f t="shared" si="78"/>
        <v>2666666.6666666665</v>
      </c>
      <c r="AA282" s="3">
        <f t="shared" si="78"/>
        <v>60</v>
      </c>
      <c r="AB282" t="str">
        <f t="shared" si="66"/>
        <v>28B0AA</v>
      </c>
    </row>
    <row r="283" spans="14:28">
      <c r="N283">
        <v>281</v>
      </c>
      <c r="O283">
        <f t="shared" si="71"/>
        <v>810</v>
      </c>
      <c r="P283">
        <f t="shared" si="73"/>
        <v>2810</v>
      </c>
      <c r="Q283">
        <f t="shared" si="74"/>
        <v>200</v>
      </c>
      <c r="R283" s="4">
        <f t="shared" si="75"/>
        <v>800000</v>
      </c>
      <c r="S283" s="3">
        <f t="shared" si="76"/>
        <v>200</v>
      </c>
      <c r="T283" t="str">
        <f t="shared" si="77"/>
        <v>C3500</v>
      </c>
      <c r="V283">
        <v>281</v>
      </c>
      <c r="W283">
        <f t="shared" si="68"/>
        <v>710</v>
      </c>
      <c r="X283">
        <f t="shared" si="70"/>
        <v>2810</v>
      </c>
      <c r="Y283">
        <f t="shared" si="69"/>
        <v>60</v>
      </c>
      <c r="Z283" s="4">
        <f t="shared" si="78"/>
        <v>2666666.6666666665</v>
      </c>
      <c r="AA283" s="3">
        <f t="shared" si="78"/>
        <v>60</v>
      </c>
      <c r="AB283" t="str">
        <f t="shared" si="66"/>
        <v>28B0AA</v>
      </c>
    </row>
    <row r="284" spans="14:28">
      <c r="N284">
        <v>282</v>
      </c>
      <c r="O284">
        <f t="shared" si="71"/>
        <v>820</v>
      </c>
      <c r="P284">
        <f t="shared" si="73"/>
        <v>2820</v>
      </c>
      <c r="Q284">
        <f t="shared" si="74"/>
        <v>200</v>
      </c>
      <c r="R284" s="4">
        <f t="shared" si="75"/>
        <v>800000</v>
      </c>
      <c r="S284" s="3">
        <f t="shared" si="76"/>
        <v>200</v>
      </c>
      <c r="T284" t="str">
        <f t="shared" si="77"/>
        <v>C3500</v>
      </c>
      <c r="V284">
        <v>282</v>
      </c>
      <c r="W284">
        <f t="shared" si="68"/>
        <v>720</v>
      </c>
      <c r="X284">
        <f t="shared" si="70"/>
        <v>2820</v>
      </c>
      <c r="Y284">
        <f t="shared" si="69"/>
        <v>60</v>
      </c>
      <c r="Z284" s="4">
        <f t="shared" si="78"/>
        <v>2666666.6666666665</v>
      </c>
      <c r="AA284" s="3">
        <f t="shared" si="78"/>
        <v>60</v>
      </c>
      <c r="AB284" t="str">
        <f t="shared" si="66"/>
        <v>28B0AA</v>
      </c>
    </row>
    <row r="285" spans="14:28">
      <c r="N285">
        <v>283</v>
      </c>
      <c r="O285">
        <f t="shared" si="71"/>
        <v>830</v>
      </c>
      <c r="P285">
        <f t="shared" si="73"/>
        <v>2830</v>
      </c>
      <c r="Q285">
        <f t="shared" si="74"/>
        <v>200</v>
      </c>
      <c r="R285" s="4">
        <f t="shared" si="75"/>
        <v>800000</v>
      </c>
      <c r="S285" s="3">
        <f t="shared" si="76"/>
        <v>200</v>
      </c>
      <c r="T285" t="str">
        <f t="shared" si="77"/>
        <v>C3500</v>
      </c>
      <c r="V285">
        <v>283</v>
      </c>
      <c r="W285">
        <f t="shared" si="68"/>
        <v>730</v>
      </c>
      <c r="X285">
        <f t="shared" si="70"/>
        <v>2830</v>
      </c>
      <c r="Y285">
        <f t="shared" si="69"/>
        <v>60</v>
      </c>
      <c r="Z285" s="4">
        <f t="shared" si="78"/>
        <v>2666666.6666666665</v>
      </c>
      <c r="AA285" s="3">
        <f t="shared" si="78"/>
        <v>60</v>
      </c>
      <c r="AB285" t="str">
        <f t="shared" si="66"/>
        <v>28B0AA</v>
      </c>
    </row>
    <row r="286" spans="14:28">
      <c r="N286">
        <v>284</v>
      </c>
      <c r="O286">
        <f t="shared" si="71"/>
        <v>840</v>
      </c>
      <c r="P286">
        <f t="shared" si="73"/>
        <v>2840</v>
      </c>
      <c r="Q286">
        <f t="shared" si="74"/>
        <v>200</v>
      </c>
      <c r="R286" s="4">
        <f t="shared" si="75"/>
        <v>800000</v>
      </c>
      <c r="S286" s="3">
        <f t="shared" si="76"/>
        <v>200</v>
      </c>
      <c r="T286" t="str">
        <f t="shared" si="77"/>
        <v>C3500</v>
      </c>
      <c r="V286">
        <v>284</v>
      </c>
      <c r="W286">
        <f t="shared" si="68"/>
        <v>740</v>
      </c>
      <c r="X286">
        <f t="shared" si="70"/>
        <v>2840</v>
      </c>
      <c r="Y286">
        <f t="shared" si="69"/>
        <v>60</v>
      </c>
      <c r="Z286" s="4">
        <f t="shared" si="78"/>
        <v>2666666.6666666665</v>
      </c>
      <c r="AA286" s="3">
        <f t="shared" si="78"/>
        <v>60</v>
      </c>
      <c r="AB286" t="str">
        <f t="shared" si="66"/>
        <v>28B0AA</v>
      </c>
    </row>
    <row r="287" spans="14:28">
      <c r="N287">
        <v>285</v>
      </c>
      <c r="O287">
        <f t="shared" si="71"/>
        <v>850</v>
      </c>
      <c r="P287">
        <f t="shared" si="73"/>
        <v>2850</v>
      </c>
      <c r="Q287">
        <f t="shared" si="74"/>
        <v>200</v>
      </c>
      <c r="R287" s="4">
        <f t="shared" si="75"/>
        <v>800000</v>
      </c>
      <c r="S287" s="3">
        <f t="shared" si="76"/>
        <v>200</v>
      </c>
      <c r="T287" t="str">
        <f t="shared" si="77"/>
        <v>C3500</v>
      </c>
      <c r="V287">
        <v>285</v>
      </c>
      <c r="W287">
        <f t="shared" si="68"/>
        <v>750</v>
      </c>
      <c r="X287">
        <f t="shared" si="70"/>
        <v>2850</v>
      </c>
      <c r="Y287">
        <f t="shared" si="69"/>
        <v>60</v>
      </c>
      <c r="Z287" s="4">
        <f t="shared" si="78"/>
        <v>2666666.6666666665</v>
      </c>
      <c r="AA287" s="3">
        <f t="shared" si="78"/>
        <v>60</v>
      </c>
      <c r="AB287" t="str">
        <f t="shared" si="66"/>
        <v>28B0AA</v>
      </c>
    </row>
    <row r="288" spans="14:28">
      <c r="N288">
        <v>286</v>
      </c>
      <c r="O288">
        <f t="shared" si="71"/>
        <v>860</v>
      </c>
      <c r="P288">
        <f t="shared" si="73"/>
        <v>2860</v>
      </c>
      <c r="Q288">
        <f t="shared" si="74"/>
        <v>200</v>
      </c>
      <c r="R288" s="4">
        <f t="shared" si="75"/>
        <v>800000</v>
      </c>
      <c r="S288" s="3">
        <f t="shared" si="76"/>
        <v>200</v>
      </c>
      <c r="T288" t="str">
        <f t="shared" si="77"/>
        <v>C3500</v>
      </c>
      <c r="V288">
        <v>286</v>
      </c>
      <c r="W288">
        <f t="shared" si="68"/>
        <v>760</v>
      </c>
      <c r="X288">
        <f t="shared" si="70"/>
        <v>2860</v>
      </c>
      <c r="Y288">
        <f t="shared" si="69"/>
        <v>60</v>
      </c>
      <c r="Z288" s="4">
        <f t="shared" si="78"/>
        <v>2666666.6666666665</v>
      </c>
      <c r="AA288" s="3">
        <f t="shared" si="78"/>
        <v>60</v>
      </c>
      <c r="AB288" t="str">
        <f t="shared" si="66"/>
        <v>28B0AA</v>
      </c>
    </row>
    <row r="289" spans="14:28">
      <c r="N289">
        <v>287</v>
      </c>
      <c r="O289">
        <f t="shared" si="71"/>
        <v>870</v>
      </c>
      <c r="P289">
        <f t="shared" si="73"/>
        <v>2870</v>
      </c>
      <c r="Q289">
        <f t="shared" si="74"/>
        <v>200</v>
      </c>
      <c r="R289" s="4">
        <f t="shared" si="75"/>
        <v>800000</v>
      </c>
      <c r="S289" s="3">
        <f t="shared" si="76"/>
        <v>200</v>
      </c>
      <c r="T289" t="str">
        <f t="shared" si="77"/>
        <v>C3500</v>
      </c>
      <c r="V289">
        <v>287</v>
      </c>
      <c r="W289">
        <f t="shared" si="68"/>
        <v>770</v>
      </c>
      <c r="X289">
        <f t="shared" si="70"/>
        <v>2870</v>
      </c>
      <c r="Y289">
        <f t="shared" si="69"/>
        <v>60</v>
      </c>
      <c r="Z289" s="4">
        <f t="shared" si="78"/>
        <v>2666666.6666666665</v>
      </c>
      <c r="AA289" s="3">
        <f t="shared" si="78"/>
        <v>60</v>
      </c>
      <c r="AB289" t="str">
        <f t="shared" si="66"/>
        <v>28B0AA</v>
      </c>
    </row>
    <row r="290" spans="14:28">
      <c r="N290">
        <v>288</v>
      </c>
      <c r="O290">
        <f t="shared" si="71"/>
        <v>880</v>
      </c>
      <c r="P290">
        <f t="shared" si="73"/>
        <v>2880</v>
      </c>
      <c r="Q290">
        <f t="shared" si="74"/>
        <v>200</v>
      </c>
      <c r="R290" s="4">
        <f t="shared" si="75"/>
        <v>800000</v>
      </c>
      <c r="S290" s="3">
        <f t="shared" si="76"/>
        <v>200</v>
      </c>
      <c r="T290" t="str">
        <f t="shared" si="77"/>
        <v>C3500</v>
      </c>
      <c r="V290">
        <v>288</v>
      </c>
      <c r="W290">
        <f t="shared" si="68"/>
        <v>780</v>
      </c>
      <c r="X290">
        <f t="shared" si="70"/>
        <v>2880</v>
      </c>
      <c r="Y290">
        <f t="shared" si="69"/>
        <v>60</v>
      </c>
      <c r="Z290" s="4">
        <f t="shared" si="78"/>
        <v>2666666.6666666665</v>
      </c>
      <c r="AA290" s="3">
        <f t="shared" si="78"/>
        <v>60</v>
      </c>
      <c r="AB290" t="str">
        <f t="shared" ref="AB290:AB353" si="79">DEC2HEX(Z290)</f>
        <v>28B0AA</v>
      </c>
    </row>
    <row r="291" spans="14:28">
      <c r="N291">
        <v>289</v>
      </c>
      <c r="O291">
        <f t="shared" si="71"/>
        <v>890</v>
      </c>
      <c r="P291">
        <f t="shared" si="73"/>
        <v>2890</v>
      </c>
      <c r="Q291">
        <f t="shared" si="74"/>
        <v>200</v>
      </c>
      <c r="R291" s="4">
        <f t="shared" si="75"/>
        <v>800000</v>
      </c>
      <c r="S291" s="3">
        <f t="shared" si="76"/>
        <v>200</v>
      </c>
      <c r="T291" t="str">
        <f t="shared" si="77"/>
        <v>C3500</v>
      </c>
      <c r="V291">
        <v>289</v>
      </c>
      <c r="W291">
        <f t="shared" si="68"/>
        <v>790</v>
      </c>
      <c r="X291">
        <f t="shared" si="70"/>
        <v>2890</v>
      </c>
      <c r="Y291">
        <f t="shared" si="69"/>
        <v>60</v>
      </c>
      <c r="Z291" s="4">
        <f t="shared" si="78"/>
        <v>2666666.6666666665</v>
      </c>
      <c r="AA291" s="3">
        <f t="shared" si="78"/>
        <v>60</v>
      </c>
      <c r="AB291" t="str">
        <f t="shared" si="79"/>
        <v>28B0AA</v>
      </c>
    </row>
    <row r="292" spans="14:28">
      <c r="N292">
        <v>290</v>
      </c>
      <c r="O292">
        <f t="shared" si="71"/>
        <v>900</v>
      </c>
      <c r="P292">
        <f t="shared" si="73"/>
        <v>2900</v>
      </c>
      <c r="Q292">
        <f t="shared" si="74"/>
        <v>200</v>
      </c>
      <c r="R292" s="4">
        <f t="shared" si="75"/>
        <v>800000</v>
      </c>
      <c r="S292" s="3">
        <f t="shared" si="76"/>
        <v>200</v>
      </c>
      <c r="T292" t="str">
        <f t="shared" si="77"/>
        <v>C3500</v>
      </c>
      <c r="V292">
        <v>290</v>
      </c>
      <c r="W292">
        <f t="shared" si="68"/>
        <v>800</v>
      </c>
      <c r="X292">
        <f t="shared" si="70"/>
        <v>2900</v>
      </c>
      <c r="Y292">
        <f t="shared" si="69"/>
        <v>60</v>
      </c>
      <c r="Z292" s="4">
        <f t="shared" si="78"/>
        <v>2666666.6666666665</v>
      </c>
      <c r="AA292" s="3">
        <f t="shared" si="78"/>
        <v>60</v>
      </c>
      <c r="AB292" t="str">
        <f t="shared" si="79"/>
        <v>28B0AA</v>
      </c>
    </row>
    <row r="293" spans="14:28">
      <c r="N293">
        <v>291</v>
      </c>
      <c r="O293">
        <f t="shared" si="71"/>
        <v>910</v>
      </c>
      <c r="P293">
        <f t="shared" si="73"/>
        <v>2910</v>
      </c>
      <c r="Q293">
        <f t="shared" si="74"/>
        <v>200</v>
      </c>
      <c r="R293" s="4">
        <f t="shared" si="75"/>
        <v>800000</v>
      </c>
      <c r="S293" s="3">
        <f t="shared" si="76"/>
        <v>200</v>
      </c>
      <c r="T293" t="str">
        <f t="shared" si="77"/>
        <v>C3500</v>
      </c>
      <c r="V293">
        <v>291</v>
      </c>
      <c r="W293">
        <f t="shared" si="68"/>
        <v>810</v>
      </c>
      <c r="X293">
        <f t="shared" si="70"/>
        <v>2910</v>
      </c>
      <c r="Y293">
        <f t="shared" si="69"/>
        <v>60</v>
      </c>
      <c r="Z293" s="4">
        <f t="shared" si="78"/>
        <v>2666666.6666666665</v>
      </c>
      <c r="AA293" s="3">
        <f t="shared" si="78"/>
        <v>60</v>
      </c>
      <c r="AB293" t="str">
        <f t="shared" si="79"/>
        <v>28B0AA</v>
      </c>
    </row>
    <row r="294" spans="14:28">
      <c r="N294">
        <v>292</v>
      </c>
      <c r="O294">
        <f t="shared" si="71"/>
        <v>920</v>
      </c>
      <c r="P294">
        <f t="shared" si="73"/>
        <v>2920</v>
      </c>
      <c r="Q294">
        <f t="shared" si="74"/>
        <v>200</v>
      </c>
      <c r="R294" s="4">
        <f t="shared" si="75"/>
        <v>800000</v>
      </c>
      <c r="S294" s="3">
        <f t="shared" si="76"/>
        <v>200</v>
      </c>
      <c r="T294" t="str">
        <f t="shared" si="77"/>
        <v>C3500</v>
      </c>
      <c r="V294">
        <v>292</v>
      </c>
      <c r="W294">
        <f t="shared" si="68"/>
        <v>820</v>
      </c>
      <c r="X294">
        <f t="shared" si="70"/>
        <v>2920</v>
      </c>
      <c r="Y294">
        <f t="shared" si="69"/>
        <v>60</v>
      </c>
      <c r="Z294" s="4">
        <f t="shared" si="78"/>
        <v>2666666.6666666665</v>
      </c>
      <c r="AA294" s="3">
        <f t="shared" si="78"/>
        <v>60</v>
      </c>
      <c r="AB294" t="str">
        <f t="shared" si="79"/>
        <v>28B0AA</v>
      </c>
    </row>
    <row r="295" spans="14:28">
      <c r="N295">
        <v>293</v>
      </c>
      <c r="O295">
        <f t="shared" si="71"/>
        <v>930</v>
      </c>
      <c r="P295">
        <f t="shared" si="73"/>
        <v>2930</v>
      </c>
      <c r="Q295">
        <f t="shared" si="74"/>
        <v>200</v>
      </c>
      <c r="R295" s="4">
        <f t="shared" si="75"/>
        <v>800000</v>
      </c>
      <c r="S295" s="3">
        <f t="shared" si="76"/>
        <v>200</v>
      </c>
      <c r="T295" t="str">
        <f t="shared" si="77"/>
        <v>C3500</v>
      </c>
      <c r="V295">
        <v>293</v>
      </c>
      <c r="W295">
        <f t="shared" si="68"/>
        <v>830</v>
      </c>
      <c r="X295">
        <f t="shared" si="70"/>
        <v>2930</v>
      </c>
      <c r="Y295">
        <f t="shared" si="69"/>
        <v>60</v>
      </c>
      <c r="Z295" s="4">
        <f t="shared" si="78"/>
        <v>2666666.6666666665</v>
      </c>
      <c r="AA295" s="3">
        <f t="shared" si="78"/>
        <v>60</v>
      </c>
      <c r="AB295" t="str">
        <f t="shared" si="79"/>
        <v>28B0AA</v>
      </c>
    </row>
    <row r="296" spans="14:28">
      <c r="N296">
        <v>294</v>
      </c>
      <c r="O296">
        <f t="shared" si="71"/>
        <v>940</v>
      </c>
      <c r="P296">
        <f t="shared" si="73"/>
        <v>2940</v>
      </c>
      <c r="Q296">
        <f t="shared" si="74"/>
        <v>200</v>
      </c>
      <c r="R296" s="4">
        <f t="shared" si="75"/>
        <v>800000</v>
      </c>
      <c r="S296" s="3">
        <f t="shared" si="76"/>
        <v>200</v>
      </c>
      <c r="T296" t="str">
        <f t="shared" si="77"/>
        <v>C3500</v>
      </c>
      <c r="V296">
        <v>294</v>
      </c>
      <c r="W296">
        <f t="shared" si="68"/>
        <v>840</v>
      </c>
      <c r="X296">
        <f t="shared" si="70"/>
        <v>2940</v>
      </c>
      <c r="Y296">
        <f t="shared" si="69"/>
        <v>60</v>
      </c>
      <c r="Z296" s="4">
        <f t="shared" si="78"/>
        <v>2666666.6666666665</v>
      </c>
      <c r="AA296" s="3">
        <f t="shared" si="78"/>
        <v>60</v>
      </c>
      <c r="AB296" t="str">
        <f t="shared" si="79"/>
        <v>28B0AA</v>
      </c>
    </row>
    <row r="297" spans="14:28">
      <c r="N297">
        <v>295</v>
      </c>
      <c r="O297">
        <f t="shared" si="71"/>
        <v>950</v>
      </c>
      <c r="P297">
        <f t="shared" si="73"/>
        <v>2950</v>
      </c>
      <c r="Q297">
        <f t="shared" si="74"/>
        <v>200</v>
      </c>
      <c r="R297" s="4">
        <f t="shared" si="75"/>
        <v>800000</v>
      </c>
      <c r="S297" s="3">
        <f t="shared" si="76"/>
        <v>200</v>
      </c>
      <c r="T297" t="str">
        <f t="shared" si="77"/>
        <v>C3500</v>
      </c>
      <c r="V297">
        <v>295</v>
      </c>
      <c r="W297">
        <f t="shared" si="68"/>
        <v>850</v>
      </c>
      <c r="X297">
        <f t="shared" si="70"/>
        <v>2950</v>
      </c>
      <c r="Y297">
        <f t="shared" si="69"/>
        <v>60</v>
      </c>
      <c r="Z297" s="4">
        <f t="shared" si="78"/>
        <v>2666666.6666666665</v>
      </c>
      <c r="AA297" s="3">
        <f t="shared" si="78"/>
        <v>60</v>
      </c>
      <c r="AB297" t="str">
        <f t="shared" si="79"/>
        <v>28B0AA</v>
      </c>
    </row>
    <row r="298" spans="14:28">
      <c r="N298">
        <v>296</v>
      </c>
      <c r="O298">
        <f t="shared" si="71"/>
        <v>960</v>
      </c>
      <c r="P298">
        <f t="shared" si="73"/>
        <v>2960</v>
      </c>
      <c r="Q298">
        <f t="shared" si="74"/>
        <v>200</v>
      </c>
      <c r="R298" s="4">
        <f t="shared" si="75"/>
        <v>800000</v>
      </c>
      <c r="S298" s="3">
        <f t="shared" si="76"/>
        <v>200</v>
      </c>
      <c r="T298" t="str">
        <f t="shared" si="77"/>
        <v>C3500</v>
      </c>
      <c r="V298">
        <v>296</v>
      </c>
      <c r="W298">
        <f t="shared" si="68"/>
        <v>860</v>
      </c>
      <c r="X298">
        <f t="shared" si="70"/>
        <v>2960</v>
      </c>
      <c r="Y298">
        <f t="shared" si="69"/>
        <v>60</v>
      </c>
      <c r="Z298" s="4">
        <f t="shared" si="78"/>
        <v>2666666.6666666665</v>
      </c>
      <c r="AA298" s="3">
        <f t="shared" si="78"/>
        <v>60</v>
      </c>
      <c r="AB298" t="str">
        <f t="shared" si="79"/>
        <v>28B0AA</v>
      </c>
    </row>
    <row r="299" spans="14:28">
      <c r="N299">
        <v>297</v>
      </c>
      <c r="O299">
        <f t="shared" si="71"/>
        <v>970</v>
      </c>
      <c r="P299">
        <f t="shared" si="73"/>
        <v>2970</v>
      </c>
      <c r="Q299">
        <f t="shared" si="74"/>
        <v>200</v>
      </c>
      <c r="R299" s="4">
        <f t="shared" si="75"/>
        <v>800000</v>
      </c>
      <c r="S299" s="3">
        <f t="shared" si="76"/>
        <v>200</v>
      </c>
      <c r="T299" t="str">
        <f t="shared" si="77"/>
        <v>C3500</v>
      </c>
      <c r="V299">
        <v>297</v>
      </c>
      <c r="W299">
        <f t="shared" si="68"/>
        <v>870</v>
      </c>
      <c r="X299">
        <f t="shared" si="70"/>
        <v>2970</v>
      </c>
      <c r="Y299">
        <f t="shared" si="69"/>
        <v>60</v>
      </c>
      <c r="Z299" s="4">
        <f t="shared" ref="Z299:AA318" si="80">IFERROR(160*1000*1000/Y299,0)</f>
        <v>2666666.6666666665</v>
      </c>
      <c r="AA299" s="3">
        <f t="shared" si="80"/>
        <v>60</v>
      </c>
      <c r="AB299" t="str">
        <f t="shared" si="79"/>
        <v>28B0AA</v>
      </c>
    </row>
    <row r="300" spans="14:28">
      <c r="N300">
        <v>298</v>
      </c>
      <c r="O300">
        <f t="shared" si="71"/>
        <v>980</v>
      </c>
      <c r="P300">
        <f t="shared" si="73"/>
        <v>2980</v>
      </c>
      <c r="Q300">
        <f t="shared" si="74"/>
        <v>200</v>
      </c>
      <c r="R300" s="4">
        <f t="shared" si="75"/>
        <v>800000</v>
      </c>
      <c r="S300" s="3">
        <f t="shared" si="76"/>
        <v>200</v>
      </c>
      <c r="T300" t="str">
        <f t="shared" si="77"/>
        <v>C3500</v>
      </c>
      <c r="V300">
        <v>298</v>
      </c>
      <c r="W300">
        <f t="shared" si="68"/>
        <v>880</v>
      </c>
      <c r="X300">
        <f t="shared" si="70"/>
        <v>2980</v>
      </c>
      <c r="Y300">
        <f t="shared" si="69"/>
        <v>60</v>
      </c>
      <c r="Z300" s="4">
        <f t="shared" si="80"/>
        <v>2666666.6666666665</v>
      </c>
      <c r="AA300" s="3">
        <f t="shared" si="80"/>
        <v>60</v>
      </c>
      <c r="AB300" t="str">
        <f t="shared" si="79"/>
        <v>28B0AA</v>
      </c>
    </row>
    <row r="301" spans="14:28">
      <c r="N301">
        <v>299</v>
      </c>
      <c r="O301">
        <f t="shared" si="71"/>
        <v>990</v>
      </c>
      <c r="P301">
        <f t="shared" si="73"/>
        <v>2990</v>
      </c>
      <c r="Q301">
        <f t="shared" si="74"/>
        <v>200</v>
      </c>
      <c r="R301" s="4">
        <f t="shared" si="75"/>
        <v>800000</v>
      </c>
      <c r="S301" s="3">
        <f t="shared" si="76"/>
        <v>200</v>
      </c>
      <c r="T301" t="str">
        <f t="shared" si="77"/>
        <v>C3500</v>
      </c>
      <c r="V301">
        <v>299</v>
      </c>
      <c r="W301">
        <f t="shared" si="68"/>
        <v>890</v>
      </c>
      <c r="X301">
        <f t="shared" si="70"/>
        <v>2990</v>
      </c>
      <c r="Y301">
        <f t="shared" si="69"/>
        <v>60</v>
      </c>
      <c r="Z301" s="4">
        <f t="shared" si="80"/>
        <v>2666666.6666666665</v>
      </c>
      <c r="AA301" s="3">
        <f t="shared" si="80"/>
        <v>60</v>
      </c>
      <c r="AB301" t="str">
        <f t="shared" si="79"/>
        <v>28B0AA</v>
      </c>
    </row>
    <row r="302" spans="14:28">
      <c r="N302">
        <v>300</v>
      </c>
      <c r="O302">
        <f t="shared" si="71"/>
        <v>1000</v>
      </c>
      <c r="P302">
        <f t="shared" si="73"/>
        <v>3000</v>
      </c>
      <c r="Q302">
        <f t="shared" si="74"/>
        <v>200</v>
      </c>
      <c r="R302" s="4">
        <f t="shared" si="75"/>
        <v>800000</v>
      </c>
      <c r="S302" s="3">
        <f t="shared" si="76"/>
        <v>200</v>
      </c>
      <c r="T302" t="str">
        <f t="shared" si="77"/>
        <v>C3500</v>
      </c>
      <c r="V302">
        <v>300</v>
      </c>
      <c r="W302">
        <f t="shared" si="68"/>
        <v>900</v>
      </c>
      <c r="X302">
        <f t="shared" si="70"/>
        <v>3000</v>
      </c>
      <c r="Y302">
        <f t="shared" si="69"/>
        <v>60</v>
      </c>
      <c r="Z302" s="4">
        <f t="shared" si="80"/>
        <v>2666666.6666666665</v>
      </c>
      <c r="AA302" s="3">
        <f t="shared" si="80"/>
        <v>60</v>
      </c>
      <c r="AB302" t="str">
        <f t="shared" si="79"/>
        <v>28B0AA</v>
      </c>
    </row>
    <row r="303" spans="14:28">
      <c r="N303">
        <v>301</v>
      </c>
      <c r="O303">
        <f t="shared" si="71"/>
        <v>1010</v>
      </c>
      <c r="P303">
        <f t="shared" si="73"/>
        <v>3010</v>
      </c>
      <c r="Q303">
        <f t="shared" si="74"/>
        <v>200</v>
      </c>
      <c r="R303" s="4">
        <f t="shared" si="75"/>
        <v>800000</v>
      </c>
      <c r="S303" s="3">
        <f t="shared" si="76"/>
        <v>200</v>
      </c>
      <c r="T303" t="str">
        <f t="shared" si="77"/>
        <v>C3500</v>
      </c>
      <c r="V303">
        <v>301</v>
      </c>
      <c r="W303">
        <f t="shared" si="68"/>
        <v>910</v>
      </c>
      <c r="X303">
        <f t="shared" si="70"/>
        <v>3010</v>
      </c>
      <c r="Y303">
        <f t="shared" si="69"/>
        <v>60</v>
      </c>
      <c r="Z303" s="4">
        <f t="shared" si="80"/>
        <v>2666666.6666666665</v>
      </c>
      <c r="AA303" s="3">
        <f t="shared" si="80"/>
        <v>60</v>
      </c>
      <c r="AB303" t="str">
        <f t="shared" si="79"/>
        <v>28B0AA</v>
      </c>
    </row>
    <row r="304" spans="14:28">
      <c r="N304">
        <v>302</v>
      </c>
      <c r="O304">
        <f t="shared" si="71"/>
        <v>1020</v>
      </c>
      <c r="P304">
        <f t="shared" si="73"/>
        <v>3020</v>
      </c>
      <c r="Q304">
        <f t="shared" si="74"/>
        <v>200</v>
      </c>
      <c r="R304" s="4">
        <f t="shared" si="75"/>
        <v>800000</v>
      </c>
      <c r="S304" s="3">
        <f t="shared" si="76"/>
        <v>200</v>
      </c>
      <c r="T304" t="str">
        <f t="shared" si="77"/>
        <v>C3500</v>
      </c>
      <c r="V304">
        <v>302</v>
      </c>
      <c r="W304">
        <f t="shared" si="68"/>
        <v>920</v>
      </c>
      <c r="X304">
        <f t="shared" si="70"/>
        <v>3020</v>
      </c>
      <c r="Y304">
        <f t="shared" si="69"/>
        <v>60</v>
      </c>
      <c r="Z304" s="4">
        <f t="shared" si="80"/>
        <v>2666666.6666666665</v>
      </c>
      <c r="AA304" s="3">
        <f t="shared" si="80"/>
        <v>60</v>
      </c>
      <c r="AB304" t="str">
        <f t="shared" si="79"/>
        <v>28B0AA</v>
      </c>
    </row>
    <row r="305" spans="14:28">
      <c r="N305">
        <v>303</v>
      </c>
      <c r="O305">
        <f t="shared" si="71"/>
        <v>1030</v>
      </c>
      <c r="P305">
        <f t="shared" si="73"/>
        <v>3030</v>
      </c>
      <c r="Q305">
        <f t="shared" si="74"/>
        <v>200</v>
      </c>
      <c r="R305" s="4">
        <f t="shared" si="75"/>
        <v>800000</v>
      </c>
      <c r="S305" s="3">
        <f t="shared" si="76"/>
        <v>200</v>
      </c>
      <c r="T305" t="str">
        <f t="shared" si="77"/>
        <v>C3500</v>
      </c>
      <c r="V305">
        <v>303</v>
      </c>
      <c r="W305">
        <f t="shared" si="68"/>
        <v>930</v>
      </c>
      <c r="X305">
        <f t="shared" si="70"/>
        <v>3030</v>
      </c>
      <c r="Y305">
        <f t="shared" si="69"/>
        <v>60</v>
      </c>
      <c r="Z305" s="4">
        <f t="shared" si="80"/>
        <v>2666666.6666666665</v>
      </c>
      <c r="AA305" s="3">
        <f t="shared" si="80"/>
        <v>60</v>
      </c>
      <c r="AB305" t="str">
        <f t="shared" si="79"/>
        <v>28B0AA</v>
      </c>
    </row>
    <row r="306" spans="14:28">
      <c r="N306">
        <v>304</v>
      </c>
      <c r="O306">
        <f t="shared" si="71"/>
        <v>1040</v>
      </c>
      <c r="P306">
        <f t="shared" si="73"/>
        <v>3040</v>
      </c>
      <c r="Q306">
        <f t="shared" si="74"/>
        <v>200</v>
      </c>
      <c r="R306" s="4">
        <f t="shared" si="75"/>
        <v>800000</v>
      </c>
      <c r="S306" s="3">
        <f t="shared" si="76"/>
        <v>200</v>
      </c>
      <c r="T306" t="str">
        <f t="shared" si="77"/>
        <v>C3500</v>
      </c>
      <c r="V306">
        <v>304</v>
      </c>
      <c r="W306">
        <f t="shared" si="68"/>
        <v>940</v>
      </c>
      <c r="X306">
        <f t="shared" si="70"/>
        <v>3040</v>
      </c>
      <c r="Y306">
        <f t="shared" si="69"/>
        <v>60</v>
      </c>
      <c r="Z306" s="4">
        <f t="shared" si="80"/>
        <v>2666666.6666666665</v>
      </c>
      <c r="AA306" s="3">
        <f t="shared" si="80"/>
        <v>60</v>
      </c>
      <c r="AB306" t="str">
        <f t="shared" si="79"/>
        <v>28B0AA</v>
      </c>
    </row>
    <row r="307" spans="14:28">
      <c r="N307">
        <v>305</v>
      </c>
      <c r="O307">
        <f t="shared" si="71"/>
        <v>1050</v>
      </c>
      <c r="P307">
        <f t="shared" si="73"/>
        <v>3050</v>
      </c>
      <c r="Q307">
        <f t="shared" si="74"/>
        <v>200</v>
      </c>
      <c r="R307" s="4">
        <f t="shared" si="75"/>
        <v>800000</v>
      </c>
      <c r="S307" s="3">
        <f t="shared" si="76"/>
        <v>200</v>
      </c>
      <c r="T307" t="str">
        <f t="shared" si="77"/>
        <v>C3500</v>
      </c>
      <c r="V307">
        <v>305</v>
      </c>
      <c r="W307">
        <f t="shared" si="68"/>
        <v>950</v>
      </c>
      <c r="X307">
        <f t="shared" si="70"/>
        <v>3050</v>
      </c>
      <c r="Y307">
        <f t="shared" si="69"/>
        <v>60</v>
      </c>
      <c r="Z307" s="4">
        <f t="shared" si="80"/>
        <v>2666666.6666666665</v>
      </c>
      <c r="AA307" s="3">
        <f t="shared" si="80"/>
        <v>60</v>
      </c>
      <c r="AB307" t="str">
        <f t="shared" si="79"/>
        <v>28B0AA</v>
      </c>
    </row>
    <row r="308" spans="14:28">
      <c r="N308">
        <v>306</v>
      </c>
      <c r="O308">
        <f t="shared" si="71"/>
        <v>1060</v>
      </c>
      <c r="P308">
        <f t="shared" si="73"/>
        <v>3060</v>
      </c>
      <c r="Q308">
        <f t="shared" si="74"/>
        <v>200</v>
      </c>
      <c r="R308" s="4">
        <f t="shared" si="75"/>
        <v>800000</v>
      </c>
      <c r="S308" s="3">
        <f t="shared" si="76"/>
        <v>200</v>
      </c>
      <c r="T308" t="str">
        <f t="shared" si="77"/>
        <v>C3500</v>
      </c>
      <c r="V308">
        <v>306</v>
      </c>
      <c r="W308">
        <f t="shared" si="68"/>
        <v>960</v>
      </c>
      <c r="X308">
        <f t="shared" si="70"/>
        <v>3060</v>
      </c>
      <c r="Y308">
        <f t="shared" si="69"/>
        <v>60</v>
      </c>
      <c r="Z308" s="4">
        <f t="shared" si="80"/>
        <v>2666666.6666666665</v>
      </c>
      <c r="AA308" s="3">
        <f t="shared" si="80"/>
        <v>60</v>
      </c>
      <c r="AB308" t="str">
        <f t="shared" si="79"/>
        <v>28B0AA</v>
      </c>
    </row>
    <row r="309" spans="14:28">
      <c r="N309">
        <v>307</v>
      </c>
      <c r="O309">
        <f t="shared" si="71"/>
        <v>1070</v>
      </c>
      <c r="P309">
        <f t="shared" si="73"/>
        <v>3070</v>
      </c>
      <c r="Q309">
        <f t="shared" si="74"/>
        <v>200</v>
      </c>
      <c r="R309" s="4">
        <f t="shared" si="75"/>
        <v>800000</v>
      </c>
      <c r="S309" s="3">
        <f t="shared" si="76"/>
        <v>200</v>
      </c>
      <c r="T309" t="str">
        <f t="shared" si="77"/>
        <v>C3500</v>
      </c>
      <c r="V309">
        <v>307</v>
      </c>
      <c r="W309">
        <f t="shared" si="68"/>
        <v>970</v>
      </c>
      <c r="X309">
        <f t="shared" si="70"/>
        <v>3070</v>
      </c>
      <c r="Y309">
        <f t="shared" si="69"/>
        <v>60</v>
      </c>
      <c r="Z309" s="4">
        <f t="shared" si="80"/>
        <v>2666666.6666666665</v>
      </c>
      <c r="AA309" s="3">
        <f t="shared" si="80"/>
        <v>60</v>
      </c>
      <c r="AB309" t="str">
        <f t="shared" si="79"/>
        <v>28B0AA</v>
      </c>
    </row>
    <row r="310" spans="14:28">
      <c r="N310">
        <v>308</v>
      </c>
      <c r="O310">
        <f t="shared" si="71"/>
        <v>1080</v>
      </c>
      <c r="P310">
        <f t="shared" si="73"/>
        <v>3080</v>
      </c>
      <c r="Q310">
        <f t="shared" si="74"/>
        <v>200</v>
      </c>
      <c r="R310" s="4">
        <f t="shared" si="75"/>
        <v>800000</v>
      </c>
      <c r="S310" s="3">
        <f t="shared" si="76"/>
        <v>200</v>
      </c>
      <c r="T310" t="str">
        <f t="shared" si="77"/>
        <v>C3500</v>
      </c>
      <c r="V310">
        <v>308</v>
      </c>
      <c r="W310">
        <f t="shared" si="68"/>
        <v>980</v>
      </c>
      <c r="X310">
        <f t="shared" si="70"/>
        <v>3080</v>
      </c>
      <c r="Y310">
        <f t="shared" si="69"/>
        <v>60</v>
      </c>
      <c r="Z310" s="4">
        <f t="shared" si="80"/>
        <v>2666666.6666666665</v>
      </c>
      <c r="AA310" s="3">
        <f t="shared" si="80"/>
        <v>60</v>
      </c>
      <c r="AB310" t="str">
        <f t="shared" si="79"/>
        <v>28B0AA</v>
      </c>
    </row>
    <row r="311" spans="14:28">
      <c r="N311">
        <v>309</v>
      </c>
      <c r="O311">
        <f t="shared" si="71"/>
        <v>1090</v>
      </c>
      <c r="P311">
        <f t="shared" si="73"/>
        <v>3090</v>
      </c>
      <c r="Q311">
        <f t="shared" si="74"/>
        <v>200</v>
      </c>
      <c r="R311" s="4">
        <f t="shared" si="75"/>
        <v>800000</v>
      </c>
      <c r="S311" s="3">
        <f t="shared" si="76"/>
        <v>200</v>
      </c>
      <c r="T311" t="str">
        <f t="shared" si="77"/>
        <v>C3500</v>
      </c>
      <c r="V311">
        <v>309</v>
      </c>
      <c r="W311">
        <f t="shared" si="68"/>
        <v>990</v>
      </c>
      <c r="X311">
        <f t="shared" si="70"/>
        <v>3090</v>
      </c>
      <c r="Y311">
        <f t="shared" si="69"/>
        <v>60</v>
      </c>
      <c r="Z311" s="4">
        <f t="shared" si="80"/>
        <v>2666666.6666666665</v>
      </c>
      <c r="AA311" s="3">
        <f t="shared" si="80"/>
        <v>60</v>
      </c>
      <c r="AB311" t="str">
        <f t="shared" si="79"/>
        <v>28B0AA</v>
      </c>
    </row>
    <row r="312" spans="14:28">
      <c r="N312">
        <v>310</v>
      </c>
      <c r="O312">
        <f t="shared" si="71"/>
        <v>1100</v>
      </c>
      <c r="P312">
        <f t="shared" si="73"/>
        <v>3100</v>
      </c>
      <c r="Q312">
        <f t="shared" si="74"/>
        <v>200</v>
      </c>
      <c r="R312" s="4">
        <f t="shared" si="75"/>
        <v>800000</v>
      </c>
      <c r="S312" s="3">
        <f t="shared" si="76"/>
        <v>200</v>
      </c>
      <c r="T312" t="str">
        <f t="shared" si="77"/>
        <v>C3500</v>
      </c>
      <c r="V312">
        <v>310</v>
      </c>
      <c r="W312">
        <f t="shared" si="68"/>
        <v>1000</v>
      </c>
      <c r="X312">
        <f t="shared" si="70"/>
        <v>3100</v>
      </c>
      <c r="Y312">
        <f t="shared" si="69"/>
        <v>60</v>
      </c>
      <c r="Z312" s="4">
        <f t="shared" si="80"/>
        <v>2666666.6666666665</v>
      </c>
      <c r="AA312" s="3">
        <f t="shared" si="80"/>
        <v>60</v>
      </c>
      <c r="AB312" t="str">
        <f t="shared" si="79"/>
        <v>28B0AA</v>
      </c>
    </row>
    <row r="313" spans="14:28">
      <c r="N313">
        <v>311</v>
      </c>
      <c r="O313">
        <f t="shared" si="71"/>
        <v>1110</v>
      </c>
      <c r="P313">
        <f t="shared" si="73"/>
        <v>3110</v>
      </c>
      <c r="Q313">
        <f t="shared" si="74"/>
        <v>200</v>
      </c>
      <c r="R313" s="4">
        <f t="shared" si="75"/>
        <v>800000</v>
      </c>
      <c r="S313" s="3">
        <f t="shared" si="76"/>
        <v>200</v>
      </c>
      <c r="T313" t="str">
        <f t="shared" si="77"/>
        <v>C3500</v>
      </c>
      <c r="V313">
        <v>311</v>
      </c>
      <c r="W313">
        <f t="shared" si="68"/>
        <v>1010</v>
      </c>
      <c r="X313">
        <f t="shared" si="70"/>
        <v>3110</v>
      </c>
      <c r="Y313">
        <f t="shared" si="69"/>
        <v>60</v>
      </c>
      <c r="Z313" s="4">
        <f t="shared" si="80"/>
        <v>2666666.6666666665</v>
      </c>
      <c r="AA313" s="3">
        <f t="shared" si="80"/>
        <v>60</v>
      </c>
      <c r="AB313" t="str">
        <f t="shared" si="79"/>
        <v>28B0AA</v>
      </c>
    </row>
    <row r="314" spans="14:28">
      <c r="N314">
        <v>312</v>
      </c>
      <c r="O314">
        <f t="shared" si="71"/>
        <v>1120</v>
      </c>
      <c r="P314">
        <f t="shared" si="73"/>
        <v>3120</v>
      </c>
      <c r="Q314">
        <f t="shared" si="74"/>
        <v>200</v>
      </c>
      <c r="R314" s="4">
        <f t="shared" si="75"/>
        <v>800000</v>
      </c>
      <c r="S314" s="3">
        <f t="shared" si="76"/>
        <v>200</v>
      </c>
      <c r="T314" t="str">
        <f t="shared" si="77"/>
        <v>C3500</v>
      </c>
      <c r="V314">
        <v>312</v>
      </c>
      <c r="W314">
        <f t="shared" si="68"/>
        <v>1020</v>
      </c>
      <c r="X314">
        <f t="shared" si="70"/>
        <v>3120</v>
      </c>
      <c r="Y314">
        <f t="shared" si="69"/>
        <v>60</v>
      </c>
      <c r="Z314" s="4">
        <f t="shared" si="80"/>
        <v>2666666.6666666665</v>
      </c>
      <c r="AA314" s="3">
        <f t="shared" si="80"/>
        <v>60</v>
      </c>
      <c r="AB314" t="str">
        <f t="shared" si="79"/>
        <v>28B0AA</v>
      </c>
    </row>
    <row r="315" spans="14:28">
      <c r="N315">
        <v>313</v>
      </c>
      <c r="O315">
        <f t="shared" si="71"/>
        <v>1130</v>
      </c>
      <c r="P315">
        <f t="shared" si="73"/>
        <v>3130</v>
      </c>
      <c r="Q315">
        <f t="shared" si="74"/>
        <v>200</v>
      </c>
      <c r="R315" s="4">
        <f t="shared" si="75"/>
        <v>800000</v>
      </c>
      <c r="S315" s="3">
        <f t="shared" si="76"/>
        <v>200</v>
      </c>
      <c r="T315" t="str">
        <f t="shared" si="77"/>
        <v>C3500</v>
      </c>
      <c r="V315">
        <v>313</v>
      </c>
      <c r="W315">
        <f t="shared" si="68"/>
        <v>1030</v>
      </c>
      <c r="X315">
        <f t="shared" si="70"/>
        <v>3130</v>
      </c>
      <c r="Y315">
        <f t="shared" si="69"/>
        <v>60</v>
      </c>
      <c r="Z315" s="4">
        <f t="shared" si="80"/>
        <v>2666666.6666666665</v>
      </c>
      <c r="AA315" s="3">
        <f t="shared" si="80"/>
        <v>60</v>
      </c>
      <c r="AB315" t="str">
        <f t="shared" si="79"/>
        <v>28B0AA</v>
      </c>
    </row>
    <row r="316" spans="14:28">
      <c r="N316">
        <v>314</v>
      </c>
      <c r="O316">
        <f t="shared" si="71"/>
        <v>1140</v>
      </c>
      <c r="P316">
        <f t="shared" si="73"/>
        <v>3140</v>
      </c>
      <c r="Q316">
        <f t="shared" si="74"/>
        <v>200</v>
      </c>
      <c r="R316" s="4">
        <f t="shared" si="75"/>
        <v>800000</v>
      </c>
      <c r="S316" s="3">
        <f t="shared" si="76"/>
        <v>200</v>
      </c>
      <c r="T316" t="str">
        <f t="shared" si="77"/>
        <v>C3500</v>
      </c>
      <c r="V316">
        <v>314</v>
      </c>
      <c r="W316">
        <f t="shared" si="68"/>
        <v>1040</v>
      </c>
      <c r="X316">
        <f t="shared" si="70"/>
        <v>3140</v>
      </c>
      <c r="Y316">
        <f t="shared" si="69"/>
        <v>60</v>
      </c>
      <c r="Z316" s="4">
        <f t="shared" si="80"/>
        <v>2666666.6666666665</v>
      </c>
      <c r="AA316" s="3">
        <f t="shared" si="80"/>
        <v>60</v>
      </c>
      <c r="AB316" t="str">
        <f t="shared" si="79"/>
        <v>28B0AA</v>
      </c>
    </row>
    <row r="317" spans="14:28">
      <c r="N317">
        <v>315</v>
      </c>
      <c r="O317">
        <f t="shared" si="71"/>
        <v>1150</v>
      </c>
      <c r="P317">
        <f t="shared" si="73"/>
        <v>3150</v>
      </c>
      <c r="Q317">
        <f t="shared" si="74"/>
        <v>200</v>
      </c>
      <c r="R317" s="4">
        <f t="shared" si="75"/>
        <v>800000</v>
      </c>
      <c r="S317" s="3">
        <f t="shared" si="76"/>
        <v>200</v>
      </c>
      <c r="T317" t="str">
        <f t="shared" si="77"/>
        <v>C3500</v>
      </c>
      <c r="V317">
        <v>315</v>
      </c>
      <c r="W317">
        <f t="shared" si="68"/>
        <v>1050</v>
      </c>
      <c r="X317">
        <f t="shared" si="70"/>
        <v>3150</v>
      </c>
      <c r="Y317">
        <f t="shared" si="69"/>
        <v>60</v>
      </c>
      <c r="Z317" s="4">
        <f t="shared" si="80"/>
        <v>2666666.6666666665</v>
      </c>
      <c r="AA317" s="3">
        <f t="shared" si="80"/>
        <v>60</v>
      </c>
      <c r="AB317" t="str">
        <f t="shared" si="79"/>
        <v>28B0AA</v>
      </c>
    </row>
    <row r="318" spans="14:28">
      <c r="N318">
        <v>316</v>
      </c>
      <c r="O318">
        <f t="shared" si="71"/>
        <v>1160</v>
      </c>
      <c r="P318">
        <f t="shared" si="73"/>
        <v>3160</v>
      </c>
      <c r="Q318">
        <f t="shared" si="74"/>
        <v>200</v>
      </c>
      <c r="R318" s="4">
        <f t="shared" si="75"/>
        <v>800000</v>
      </c>
      <c r="S318" s="3">
        <f t="shared" si="76"/>
        <v>200</v>
      </c>
      <c r="T318" t="str">
        <f t="shared" si="77"/>
        <v>C3500</v>
      </c>
      <c r="V318">
        <v>316</v>
      </c>
      <c r="W318">
        <f t="shared" si="68"/>
        <v>1060</v>
      </c>
      <c r="X318">
        <f t="shared" si="70"/>
        <v>3160</v>
      </c>
      <c r="Y318">
        <f t="shared" si="69"/>
        <v>60</v>
      </c>
      <c r="Z318" s="4">
        <f t="shared" si="80"/>
        <v>2666666.6666666665</v>
      </c>
      <c r="AA318" s="3">
        <f t="shared" si="80"/>
        <v>60</v>
      </c>
      <c r="AB318" t="str">
        <f t="shared" si="79"/>
        <v>28B0AA</v>
      </c>
    </row>
    <row r="319" spans="14:28">
      <c r="N319">
        <v>317</v>
      </c>
      <c r="O319">
        <f t="shared" si="71"/>
        <v>1170</v>
      </c>
      <c r="P319">
        <f t="shared" si="73"/>
        <v>3170</v>
      </c>
      <c r="Q319">
        <f t="shared" si="74"/>
        <v>200</v>
      </c>
      <c r="R319" s="4">
        <f t="shared" si="75"/>
        <v>800000</v>
      </c>
      <c r="S319" s="3">
        <f t="shared" si="76"/>
        <v>200</v>
      </c>
      <c r="T319" t="str">
        <f t="shared" si="77"/>
        <v>C3500</v>
      </c>
      <c r="V319">
        <v>317</v>
      </c>
      <c r="W319">
        <f t="shared" ref="W319:W382" si="81">MOD(X319,$A$14+$A$15)</f>
        <v>1070</v>
      </c>
      <c r="X319">
        <f t="shared" si="70"/>
        <v>3170</v>
      </c>
      <c r="Y319">
        <f t="shared" ref="Y319:Y382" si="82">IF(W319&gt;$A$14,0,IF(W319&lt;$A$13,W319/($A$13)*($A$11-$A$12)+$A$12,IF($A$14-W319&lt;$A$13,($A$14-W319)/($A$13)*($A$11-$A$12)+$A$12,$A$11)))</f>
        <v>60</v>
      </c>
      <c r="Z319" s="4">
        <f t="shared" ref="Z319:AA338" si="83">IFERROR(160*1000*1000/Y319,0)</f>
        <v>2666666.6666666665</v>
      </c>
      <c r="AA319" s="3">
        <f t="shared" si="83"/>
        <v>60</v>
      </c>
      <c r="AB319" t="str">
        <f t="shared" si="79"/>
        <v>28B0AA</v>
      </c>
    </row>
    <row r="320" spans="14:28">
      <c r="N320">
        <v>318</v>
      </c>
      <c r="O320">
        <f t="shared" si="71"/>
        <v>1180</v>
      </c>
      <c r="P320">
        <f t="shared" si="73"/>
        <v>3180</v>
      </c>
      <c r="Q320">
        <f t="shared" si="74"/>
        <v>200</v>
      </c>
      <c r="R320" s="4">
        <f t="shared" si="75"/>
        <v>800000</v>
      </c>
      <c r="S320" s="3">
        <f t="shared" si="76"/>
        <v>200</v>
      </c>
      <c r="T320" t="str">
        <f t="shared" si="77"/>
        <v>C3500</v>
      </c>
      <c r="V320">
        <v>318</v>
      </c>
      <c r="W320">
        <f t="shared" si="81"/>
        <v>1080</v>
      </c>
      <c r="X320">
        <f t="shared" ref="X320:X383" si="84">V320*10</f>
        <v>3180</v>
      </c>
      <c r="Y320">
        <f t="shared" si="82"/>
        <v>60</v>
      </c>
      <c r="Z320" s="4">
        <f t="shared" si="83"/>
        <v>2666666.6666666665</v>
      </c>
      <c r="AA320" s="3">
        <f t="shared" si="83"/>
        <v>60</v>
      </c>
      <c r="AB320" t="str">
        <f t="shared" si="79"/>
        <v>28B0AA</v>
      </c>
    </row>
    <row r="321" spans="14:28">
      <c r="N321">
        <v>319</v>
      </c>
      <c r="O321">
        <f t="shared" si="71"/>
        <v>1190</v>
      </c>
      <c r="P321">
        <f t="shared" si="73"/>
        <v>3190</v>
      </c>
      <c r="Q321">
        <f t="shared" si="74"/>
        <v>200</v>
      </c>
      <c r="R321" s="4">
        <f t="shared" si="75"/>
        <v>800000</v>
      </c>
      <c r="S321" s="3">
        <f t="shared" si="76"/>
        <v>200</v>
      </c>
      <c r="T321" t="str">
        <f t="shared" si="77"/>
        <v>C3500</v>
      </c>
      <c r="V321">
        <v>319</v>
      </c>
      <c r="W321">
        <f t="shared" si="81"/>
        <v>1090</v>
      </c>
      <c r="X321">
        <f t="shared" si="84"/>
        <v>3190</v>
      </c>
      <c r="Y321">
        <f t="shared" si="82"/>
        <v>60</v>
      </c>
      <c r="Z321" s="4">
        <f t="shared" si="83"/>
        <v>2666666.6666666665</v>
      </c>
      <c r="AA321" s="3">
        <f t="shared" si="83"/>
        <v>60</v>
      </c>
      <c r="AB321" t="str">
        <f t="shared" si="79"/>
        <v>28B0AA</v>
      </c>
    </row>
    <row r="322" spans="14:28">
      <c r="N322">
        <v>320</v>
      </c>
      <c r="O322">
        <f t="shared" si="71"/>
        <v>1200</v>
      </c>
      <c r="P322">
        <f t="shared" si="73"/>
        <v>3200</v>
      </c>
      <c r="Q322">
        <f t="shared" si="74"/>
        <v>200</v>
      </c>
      <c r="R322" s="4">
        <f t="shared" si="75"/>
        <v>800000</v>
      </c>
      <c r="S322" s="3">
        <f t="shared" si="76"/>
        <v>200</v>
      </c>
      <c r="T322" t="str">
        <f t="shared" si="77"/>
        <v>C3500</v>
      </c>
      <c r="V322">
        <v>320</v>
      </c>
      <c r="W322">
        <f t="shared" si="81"/>
        <v>1100</v>
      </c>
      <c r="X322">
        <f t="shared" si="84"/>
        <v>3200</v>
      </c>
      <c r="Y322">
        <f t="shared" si="82"/>
        <v>60</v>
      </c>
      <c r="Z322" s="4">
        <f t="shared" si="83"/>
        <v>2666666.6666666665</v>
      </c>
      <c r="AA322" s="3">
        <f t="shared" si="83"/>
        <v>60</v>
      </c>
      <c r="AB322" t="str">
        <f t="shared" si="79"/>
        <v>28B0AA</v>
      </c>
    </row>
    <row r="323" spans="14:28">
      <c r="N323">
        <v>321</v>
      </c>
      <c r="O323">
        <f t="shared" ref="O323:O386" si="85">MOD(P323,$A$5+$A$6)</f>
        <v>1210</v>
      </c>
      <c r="P323">
        <f t="shared" si="73"/>
        <v>3210</v>
      </c>
      <c r="Q323">
        <f t="shared" si="74"/>
        <v>200</v>
      </c>
      <c r="R323" s="4">
        <f t="shared" si="75"/>
        <v>800000</v>
      </c>
      <c r="S323" s="3">
        <f t="shared" si="76"/>
        <v>200</v>
      </c>
      <c r="T323" t="str">
        <f t="shared" si="77"/>
        <v>C3500</v>
      </c>
      <c r="V323">
        <v>321</v>
      </c>
      <c r="W323">
        <f t="shared" si="81"/>
        <v>1110</v>
      </c>
      <c r="X323">
        <f t="shared" si="84"/>
        <v>3210</v>
      </c>
      <c r="Y323">
        <f t="shared" si="82"/>
        <v>60</v>
      </c>
      <c r="Z323" s="4">
        <f t="shared" si="83"/>
        <v>2666666.6666666665</v>
      </c>
      <c r="AA323" s="3">
        <f t="shared" si="83"/>
        <v>60</v>
      </c>
      <c r="AB323" t="str">
        <f t="shared" si="79"/>
        <v>28B0AA</v>
      </c>
    </row>
    <row r="324" spans="14:28">
      <c r="N324">
        <v>322</v>
      </c>
      <c r="O324">
        <f t="shared" si="85"/>
        <v>1220</v>
      </c>
      <c r="P324">
        <f t="shared" si="73"/>
        <v>3220</v>
      </c>
      <c r="Q324">
        <f t="shared" si="74"/>
        <v>200</v>
      </c>
      <c r="R324" s="4">
        <f t="shared" si="75"/>
        <v>800000</v>
      </c>
      <c r="S324" s="3">
        <f t="shared" si="76"/>
        <v>200</v>
      </c>
      <c r="T324" t="str">
        <f t="shared" si="77"/>
        <v>C3500</v>
      </c>
      <c r="V324">
        <v>322</v>
      </c>
      <c r="W324">
        <f t="shared" si="81"/>
        <v>1120</v>
      </c>
      <c r="X324">
        <f t="shared" si="84"/>
        <v>3220</v>
      </c>
      <c r="Y324">
        <f t="shared" si="82"/>
        <v>60</v>
      </c>
      <c r="Z324" s="4">
        <f t="shared" si="83"/>
        <v>2666666.6666666665</v>
      </c>
      <c r="AA324" s="3">
        <f t="shared" si="83"/>
        <v>60</v>
      </c>
      <c r="AB324" t="str">
        <f t="shared" si="79"/>
        <v>28B0AA</v>
      </c>
    </row>
    <row r="325" spans="14:28">
      <c r="N325">
        <v>323</v>
      </c>
      <c r="O325">
        <f t="shared" si="85"/>
        <v>1230</v>
      </c>
      <c r="P325">
        <f t="shared" si="73"/>
        <v>3230</v>
      </c>
      <c r="Q325">
        <f t="shared" si="74"/>
        <v>200</v>
      </c>
      <c r="R325" s="4">
        <f t="shared" si="75"/>
        <v>800000</v>
      </c>
      <c r="S325" s="3">
        <f t="shared" si="76"/>
        <v>200</v>
      </c>
      <c r="T325" t="str">
        <f t="shared" si="77"/>
        <v>C3500</v>
      </c>
      <c r="V325">
        <v>323</v>
      </c>
      <c r="W325">
        <f t="shared" si="81"/>
        <v>1130</v>
      </c>
      <c r="X325">
        <f t="shared" si="84"/>
        <v>3230</v>
      </c>
      <c r="Y325">
        <f t="shared" si="82"/>
        <v>60</v>
      </c>
      <c r="Z325" s="4">
        <f t="shared" si="83"/>
        <v>2666666.6666666665</v>
      </c>
      <c r="AA325" s="3">
        <f t="shared" si="83"/>
        <v>60</v>
      </c>
      <c r="AB325" t="str">
        <f t="shared" si="79"/>
        <v>28B0AA</v>
      </c>
    </row>
    <row r="326" spans="14:28">
      <c r="N326">
        <v>324</v>
      </c>
      <c r="O326">
        <f t="shared" si="85"/>
        <v>1240</v>
      </c>
      <c r="P326">
        <f t="shared" si="73"/>
        <v>3240</v>
      </c>
      <c r="Q326">
        <f t="shared" si="74"/>
        <v>200</v>
      </c>
      <c r="R326" s="4">
        <f t="shared" si="75"/>
        <v>800000</v>
      </c>
      <c r="S326" s="3">
        <f t="shared" si="76"/>
        <v>200</v>
      </c>
      <c r="T326" t="str">
        <f t="shared" si="77"/>
        <v>C3500</v>
      </c>
      <c r="V326">
        <v>324</v>
      </c>
      <c r="W326">
        <f t="shared" si="81"/>
        <v>1140</v>
      </c>
      <c r="X326">
        <f t="shared" si="84"/>
        <v>3240</v>
      </c>
      <c r="Y326">
        <f t="shared" si="82"/>
        <v>60</v>
      </c>
      <c r="Z326" s="4">
        <f t="shared" si="83"/>
        <v>2666666.6666666665</v>
      </c>
      <c r="AA326" s="3">
        <f t="shared" si="83"/>
        <v>60</v>
      </c>
      <c r="AB326" t="str">
        <f t="shared" si="79"/>
        <v>28B0AA</v>
      </c>
    </row>
    <row r="327" spans="14:28">
      <c r="N327">
        <v>325</v>
      </c>
      <c r="O327">
        <f t="shared" si="85"/>
        <v>1250</v>
      </c>
      <c r="P327">
        <f t="shared" si="73"/>
        <v>3250</v>
      </c>
      <c r="Q327">
        <f t="shared" si="74"/>
        <v>200</v>
      </c>
      <c r="R327" s="4">
        <f t="shared" si="75"/>
        <v>800000</v>
      </c>
      <c r="S327" s="3">
        <f t="shared" si="76"/>
        <v>200</v>
      </c>
      <c r="T327" t="str">
        <f t="shared" si="77"/>
        <v>C3500</v>
      </c>
      <c r="V327">
        <v>325</v>
      </c>
      <c r="W327">
        <f t="shared" si="81"/>
        <v>1150</v>
      </c>
      <c r="X327">
        <f t="shared" si="84"/>
        <v>3250</v>
      </c>
      <c r="Y327">
        <f t="shared" si="82"/>
        <v>60</v>
      </c>
      <c r="Z327" s="4">
        <f t="shared" si="83"/>
        <v>2666666.6666666665</v>
      </c>
      <c r="AA327" s="3">
        <f t="shared" si="83"/>
        <v>60</v>
      </c>
      <c r="AB327" t="str">
        <f t="shared" si="79"/>
        <v>28B0AA</v>
      </c>
    </row>
    <row r="328" spans="14:28">
      <c r="N328">
        <v>326</v>
      </c>
      <c r="O328">
        <f t="shared" si="85"/>
        <v>1260</v>
      </c>
      <c r="P328">
        <f t="shared" si="73"/>
        <v>3260</v>
      </c>
      <c r="Q328">
        <f t="shared" si="74"/>
        <v>192.2</v>
      </c>
      <c r="R328" s="4">
        <f t="shared" si="75"/>
        <v>832466.1810613944</v>
      </c>
      <c r="S328" s="3">
        <f t="shared" si="76"/>
        <v>192.2</v>
      </c>
      <c r="T328" t="str">
        <f t="shared" si="77"/>
        <v>CB3D2</v>
      </c>
      <c r="V328">
        <v>326</v>
      </c>
      <c r="W328">
        <f t="shared" si="81"/>
        <v>1160</v>
      </c>
      <c r="X328">
        <f t="shared" si="84"/>
        <v>3260</v>
      </c>
      <c r="Y328">
        <f t="shared" si="82"/>
        <v>60</v>
      </c>
      <c r="Z328" s="4">
        <f t="shared" si="83"/>
        <v>2666666.6666666665</v>
      </c>
      <c r="AA328" s="3">
        <f t="shared" si="83"/>
        <v>60</v>
      </c>
      <c r="AB328" t="str">
        <f t="shared" si="79"/>
        <v>28B0AA</v>
      </c>
    </row>
    <row r="329" spans="14:28">
      <c r="N329">
        <v>327</v>
      </c>
      <c r="O329">
        <f t="shared" si="85"/>
        <v>1270</v>
      </c>
      <c r="P329">
        <f t="shared" si="73"/>
        <v>3270</v>
      </c>
      <c r="Q329">
        <f t="shared" si="74"/>
        <v>184.4</v>
      </c>
      <c r="R329" s="4">
        <f t="shared" si="75"/>
        <v>867678.95878524939</v>
      </c>
      <c r="S329" s="3">
        <f t="shared" si="76"/>
        <v>184.4</v>
      </c>
      <c r="T329" t="str">
        <f t="shared" si="77"/>
        <v>D3D5E</v>
      </c>
      <c r="V329">
        <v>327</v>
      </c>
      <c r="W329">
        <f t="shared" si="81"/>
        <v>1170</v>
      </c>
      <c r="X329">
        <f t="shared" si="84"/>
        <v>3270</v>
      </c>
      <c r="Y329">
        <f t="shared" si="82"/>
        <v>60</v>
      </c>
      <c r="Z329" s="4">
        <f t="shared" si="83"/>
        <v>2666666.6666666665</v>
      </c>
      <c r="AA329" s="3">
        <f t="shared" si="83"/>
        <v>60</v>
      </c>
      <c r="AB329" t="str">
        <f t="shared" si="79"/>
        <v>28B0AA</v>
      </c>
    </row>
    <row r="330" spans="14:28">
      <c r="N330">
        <v>328</v>
      </c>
      <c r="O330">
        <f t="shared" si="85"/>
        <v>1280</v>
      </c>
      <c r="P330">
        <f t="shared" si="73"/>
        <v>3280</v>
      </c>
      <c r="Q330">
        <f t="shared" si="74"/>
        <v>176.6</v>
      </c>
      <c r="R330" s="4">
        <f t="shared" si="75"/>
        <v>906002.26500566257</v>
      </c>
      <c r="S330" s="3">
        <f t="shared" si="76"/>
        <v>176.6</v>
      </c>
      <c r="T330" t="str">
        <f t="shared" si="77"/>
        <v>DD312</v>
      </c>
      <c r="V330">
        <v>328</v>
      </c>
      <c r="W330">
        <f t="shared" si="81"/>
        <v>1180</v>
      </c>
      <c r="X330">
        <f t="shared" si="84"/>
        <v>3280</v>
      </c>
      <c r="Y330">
        <f t="shared" si="82"/>
        <v>60</v>
      </c>
      <c r="Z330" s="4">
        <f t="shared" si="83"/>
        <v>2666666.6666666665</v>
      </c>
      <c r="AA330" s="3">
        <f t="shared" si="83"/>
        <v>60</v>
      </c>
      <c r="AB330" t="str">
        <f t="shared" si="79"/>
        <v>28B0AA</v>
      </c>
    </row>
    <row r="331" spans="14:28">
      <c r="N331">
        <v>329</v>
      </c>
      <c r="O331">
        <f t="shared" si="85"/>
        <v>1290</v>
      </c>
      <c r="P331">
        <f t="shared" ref="P331:P394" si="86">N331*10</f>
        <v>3290</v>
      </c>
      <c r="Q331">
        <f t="shared" ref="Q331:Q394" si="87">IF(O331&gt;$A$5,0,IF(O331&lt;$A$4,O331/($A$4)*($A$2-$A$3)+$A$3,IF($A$5-O331&lt;$A$4,($A$5-O331)/($A$4)*($A$2-$A$3)+$A$3,$A$2)))</f>
        <v>168.79999999999998</v>
      </c>
      <c r="R331" s="4">
        <f t="shared" ref="R331:R394" si="88">IFERROR(160*1000*1000/Q331,0)</f>
        <v>947867.29857819912</v>
      </c>
      <c r="S331" s="3">
        <f t="shared" ref="S331:S394" si="89">IFERROR(160*1000*1000/R331,0)</f>
        <v>168.79999999999998</v>
      </c>
      <c r="T331" t="str">
        <f t="shared" ref="T331:T394" si="90">DEC2HEX(R331)</f>
        <v>E769B</v>
      </c>
      <c r="V331">
        <v>329</v>
      </c>
      <c r="W331">
        <f t="shared" si="81"/>
        <v>1190</v>
      </c>
      <c r="X331">
        <f t="shared" si="84"/>
        <v>3290</v>
      </c>
      <c r="Y331">
        <f t="shared" si="82"/>
        <v>60</v>
      </c>
      <c r="Z331" s="4">
        <f t="shared" si="83"/>
        <v>2666666.6666666665</v>
      </c>
      <c r="AA331" s="3">
        <f t="shared" si="83"/>
        <v>60</v>
      </c>
      <c r="AB331" t="str">
        <f t="shared" si="79"/>
        <v>28B0AA</v>
      </c>
    </row>
    <row r="332" spans="14:28">
      <c r="N332">
        <v>330</v>
      </c>
      <c r="O332">
        <f t="shared" si="85"/>
        <v>1300</v>
      </c>
      <c r="P332">
        <f t="shared" si="86"/>
        <v>3300</v>
      </c>
      <c r="Q332">
        <f t="shared" si="87"/>
        <v>161</v>
      </c>
      <c r="R332" s="4">
        <f t="shared" si="88"/>
        <v>993788.81987577642</v>
      </c>
      <c r="S332" s="3">
        <f t="shared" si="89"/>
        <v>161</v>
      </c>
      <c r="T332" t="str">
        <f t="shared" si="90"/>
        <v>F29FC</v>
      </c>
      <c r="V332">
        <v>330</v>
      </c>
      <c r="W332">
        <f t="shared" si="81"/>
        <v>1200</v>
      </c>
      <c r="X332">
        <f t="shared" si="84"/>
        <v>3300</v>
      </c>
      <c r="Y332">
        <f t="shared" si="82"/>
        <v>60</v>
      </c>
      <c r="Z332" s="4">
        <f t="shared" si="83"/>
        <v>2666666.6666666665</v>
      </c>
      <c r="AA332" s="3">
        <f t="shared" si="83"/>
        <v>60</v>
      </c>
      <c r="AB332" t="str">
        <f t="shared" si="79"/>
        <v>28B0AA</v>
      </c>
    </row>
    <row r="333" spans="14:28">
      <c r="N333">
        <v>331</v>
      </c>
      <c r="O333">
        <f t="shared" si="85"/>
        <v>1310</v>
      </c>
      <c r="P333">
        <f t="shared" si="86"/>
        <v>3310</v>
      </c>
      <c r="Q333">
        <f t="shared" si="87"/>
        <v>153.19999999999999</v>
      </c>
      <c r="R333" s="4">
        <f t="shared" si="88"/>
        <v>1044386.4229765014</v>
      </c>
      <c r="S333" s="3">
        <f t="shared" si="89"/>
        <v>153.19999999999999</v>
      </c>
      <c r="T333" t="str">
        <f t="shared" si="90"/>
        <v>FEFA2</v>
      </c>
      <c r="V333">
        <v>331</v>
      </c>
      <c r="W333">
        <f t="shared" si="81"/>
        <v>1210</v>
      </c>
      <c r="X333">
        <f t="shared" si="84"/>
        <v>3310</v>
      </c>
      <c r="Y333">
        <f t="shared" si="82"/>
        <v>60</v>
      </c>
      <c r="Z333" s="4">
        <f t="shared" si="83"/>
        <v>2666666.6666666665</v>
      </c>
      <c r="AA333" s="3">
        <f t="shared" si="83"/>
        <v>60</v>
      </c>
      <c r="AB333" t="str">
        <f t="shared" si="79"/>
        <v>28B0AA</v>
      </c>
    </row>
    <row r="334" spans="14:28">
      <c r="N334">
        <v>332</v>
      </c>
      <c r="O334">
        <f t="shared" si="85"/>
        <v>1320</v>
      </c>
      <c r="P334">
        <f t="shared" si="86"/>
        <v>3320</v>
      </c>
      <c r="Q334">
        <f t="shared" si="87"/>
        <v>145.4</v>
      </c>
      <c r="R334" s="4">
        <f t="shared" si="88"/>
        <v>1100412.6547455296</v>
      </c>
      <c r="S334" s="3">
        <f t="shared" si="89"/>
        <v>145.39999999999998</v>
      </c>
      <c r="T334" t="str">
        <f t="shared" si="90"/>
        <v>10CA7C</v>
      </c>
      <c r="V334">
        <v>332</v>
      </c>
      <c r="W334">
        <f t="shared" si="81"/>
        <v>1220</v>
      </c>
      <c r="X334">
        <f t="shared" si="84"/>
        <v>3320</v>
      </c>
      <c r="Y334">
        <f t="shared" si="82"/>
        <v>60</v>
      </c>
      <c r="Z334" s="4">
        <f t="shared" si="83"/>
        <v>2666666.6666666665</v>
      </c>
      <c r="AA334" s="3">
        <f t="shared" si="83"/>
        <v>60</v>
      </c>
      <c r="AB334" t="str">
        <f t="shared" si="79"/>
        <v>28B0AA</v>
      </c>
    </row>
    <row r="335" spans="14:28">
      <c r="N335">
        <v>333</v>
      </c>
      <c r="O335">
        <f t="shared" si="85"/>
        <v>1330</v>
      </c>
      <c r="P335">
        <f t="shared" si="86"/>
        <v>3330</v>
      </c>
      <c r="Q335">
        <f t="shared" si="87"/>
        <v>137.60000000000002</v>
      </c>
      <c r="R335" s="4">
        <f t="shared" si="88"/>
        <v>1162790.6976744183</v>
      </c>
      <c r="S335" s="3">
        <f t="shared" si="89"/>
        <v>137.60000000000002</v>
      </c>
      <c r="T335" t="str">
        <f t="shared" si="90"/>
        <v>11BE26</v>
      </c>
      <c r="V335">
        <v>333</v>
      </c>
      <c r="W335">
        <f t="shared" si="81"/>
        <v>1230</v>
      </c>
      <c r="X335">
        <f t="shared" si="84"/>
        <v>3330</v>
      </c>
      <c r="Y335">
        <f t="shared" si="82"/>
        <v>60</v>
      </c>
      <c r="Z335" s="4">
        <f t="shared" si="83"/>
        <v>2666666.6666666665</v>
      </c>
      <c r="AA335" s="3">
        <f t="shared" si="83"/>
        <v>60</v>
      </c>
      <c r="AB335" t="str">
        <f t="shared" si="79"/>
        <v>28B0AA</v>
      </c>
    </row>
    <row r="336" spans="14:28">
      <c r="N336">
        <v>334</v>
      </c>
      <c r="O336">
        <f t="shared" si="85"/>
        <v>1340</v>
      </c>
      <c r="P336">
        <f t="shared" si="86"/>
        <v>3340</v>
      </c>
      <c r="Q336">
        <f t="shared" si="87"/>
        <v>129.80000000000001</v>
      </c>
      <c r="R336" s="4">
        <f t="shared" si="88"/>
        <v>1232665.6394453004</v>
      </c>
      <c r="S336" s="3">
        <f t="shared" si="89"/>
        <v>129.80000000000001</v>
      </c>
      <c r="T336" t="str">
        <f t="shared" si="90"/>
        <v>12CF19</v>
      </c>
      <c r="V336">
        <v>334</v>
      </c>
      <c r="W336">
        <f t="shared" si="81"/>
        <v>1240</v>
      </c>
      <c r="X336">
        <f t="shared" si="84"/>
        <v>3340</v>
      </c>
      <c r="Y336">
        <f t="shared" si="82"/>
        <v>60</v>
      </c>
      <c r="Z336" s="4">
        <f t="shared" si="83"/>
        <v>2666666.6666666665</v>
      </c>
      <c r="AA336" s="3">
        <f t="shared" si="83"/>
        <v>60</v>
      </c>
      <c r="AB336" t="str">
        <f t="shared" si="79"/>
        <v>28B0AA</v>
      </c>
    </row>
    <row r="337" spans="14:28">
      <c r="N337">
        <v>335</v>
      </c>
      <c r="O337">
        <f t="shared" si="85"/>
        <v>1350</v>
      </c>
      <c r="P337">
        <f t="shared" si="86"/>
        <v>3350</v>
      </c>
      <c r="Q337">
        <f t="shared" si="87"/>
        <v>122</v>
      </c>
      <c r="R337" s="4">
        <f t="shared" si="88"/>
        <v>1311475.4098360655</v>
      </c>
      <c r="S337" s="3">
        <f t="shared" si="89"/>
        <v>122.00000000000001</v>
      </c>
      <c r="T337" t="str">
        <f t="shared" si="90"/>
        <v>1402F3</v>
      </c>
      <c r="V337">
        <v>335</v>
      </c>
      <c r="W337">
        <f t="shared" si="81"/>
        <v>1250</v>
      </c>
      <c r="X337">
        <f t="shared" si="84"/>
        <v>3350</v>
      </c>
      <c r="Y337">
        <f t="shared" si="82"/>
        <v>60</v>
      </c>
      <c r="Z337" s="4">
        <f t="shared" si="83"/>
        <v>2666666.6666666665</v>
      </c>
      <c r="AA337" s="3">
        <f t="shared" si="83"/>
        <v>60</v>
      </c>
      <c r="AB337" t="str">
        <f t="shared" si="79"/>
        <v>28B0AA</v>
      </c>
    </row>
    <row r="338" spans="14:28">
      <c r="N338">
        <v>336</v>
      </c>
      <c r="O338">
        <f t="shared" si="85"/>
        <v>1360</v>
      </c>
      <c r="P338">
        <f t="shared" si="86"/>
        <v>3360</v>
      </c>
      <c r="Q338">
        <f t="shared" si="87"/>
        <v>114.20000000000002</v>
      </c>
      <c r="R338" s="4">
        <f t="shared" si="88"/>
        <v>1401050.7880910682</v>
      </c>
      <c r="S338" s="3">
        <f t="shared" si="89"/>
        <v>114.20000000000002</v>
      </c>
      <c r="T338" t="str">
        <f t="shared" si="90"/>
        <v>1560DA</v>
      </c>
      <c r="V338">
        <v>336</v>
      </c>
      <c r="W338">
        <f t="shared" si="81"/>
        <v>1260</v>
      </c>
      <c r="X338">
        <f t="shared" si="84"/>
        <v>3360</v>
      </c>
      <c r="Y338">
        <f t="shared" si="82"/>
        <v>60</v>
      </c>
      <c r="Z338" s="4">
        <f t="shared" si="83"/>
        <v>2666666.6666666665</v>
      </c>
      <c r="AA338" s="3">
        <f t="shared" si="83"/>
        <v>60</v>
      </c>
      <c r="AB338" t="str">
        <f t="shared" si="79"/>
        <v>28B0AA</v>
      </c>
    </row>
    <row r="339" spans="14:28">
      <c r="N339">
        <v>337</v>
      </c>
      <c r="O339">
        <f t="shared" si="85"/>
        <v>1370</v>
      </c>
      <c r="P339">
        <f t="shared" si="86"/>
        <v>3370</v>
      </c>
      <c r="Q339">
        <f t="shared" si="87"/>
        <v>106.4</v>
      </c>
      <c r="R339" s="4">
        <f t="shared" si="88"/>
        <v>1503759.3984962406</v>
      </c>
      <c r="S339" s="3">
        <f t="shared" si="89"/>
        <v>106.4</v>
      </c>
      <c r="T339" t="str">
        <f t="shared" si="90"/>
        <v>16F20F</v>
      </c>
      <c r="V339">
        <v>337</v>
      </c>
      <c r="W339">
        <f t="shared" si="81"/>
        <v>1270</v>
      </c>
      <c r="X339">
        <f t="shared" si="84"/>
        <v>3370</v>
      </c>
      <c r="Y339">
        <f t="shared" si="82"/>
        <v>60</v>
      </c>
      <c r="Z339" s="4">
        <f t="shared" ref="Z339:AA358" si="91">IFERROR(160*1000*1000/Y339,0)</f>
        <v>2666666.6666666665</v>
      </c>
      <c r="AA339" s="3">
        <f t="shared" si="91"/>
        <v>60</v>
      </c>
      <c r="AB339" t="str">
        <f t="shared" si="79"/>
        <v>28B0AA</v>
      </c>
    </row>
    <row r="340" spans="14:28">
      <c r="N340">
        <v>338</v>
      </c>
      <c r="O340">
        <f t="shared" si="85"/>
        <v>1380</v>
      </c>
      <c r="P340">
        <f t="shared" si="86"/>
        <v>3380</v>
      </c>
      <c r="Q340">
        <f t="shared" si="87"/>
        <v>98.6</v>
      </c>
      <c r="R340" s="4">
        <f t="shared" si="88"/>
        <v>1622718.0527383368</v>
      </c>
      <c r="S340" s="3">
        <f t="shared" si="89"/>
        <v>98.6</v>
      </c>
      <c r="T340" t="str">
        <f t="shared" si="90"/>
        <v>18C2BE</v>
      </c>
      <c r="V340">
        <v>338</v>
      </c>
      <c r="W340">
        <f t="shared" si="81"/>
        <v>1280</v>
      </c>
      <c r="X340">
        <f t="shared" si="84"/>
        <v>3380</v>
      </c>
      <c r="Y340">
        <f t="shared" si="82"/>
        <v>60</v>
      </c>
      <c r="Z340" s="4">
        <f t="shared" si="91"/>
        <v>2666666.6666666665</v>
      </c>
      <c r="AA340" s="3">
        <f t="shared" si="91"/>
        <v>60</v>
      </c>
      <c r="AB340" t="str">
        <f t="shared" si="79"/>
        <v>28B0AA</v>
      </c>
    </row>
    <row r="341" spans="14:28">
      <c r="N341">
        <v>339</v>
      </c>
      <c r="O341">
        <f t="shared" si="85"/>
        <v>1390</v>
      </c>
      <c r="P341">
        <f t="shared" si="86"/>
        <v>3390</v>
      </c>
      <c r="Q341">
        <f t="shared" si="87"/>
        <v>90.8</v>
      </c>
      <c r="R341" s="4">
        <f t="shared" si="88"/>
        <v>1762114.537444934</v>
      </c>
      <c r="S341" s="3">
        <f t="shared" si="89"/>
        <v>90.8</v>
      </c>
      <c r="T341" t="str">
        <f t="shared" si="90"/>
        <v>1AE342</v>
      </c>
      <c r="V341">
        <v>339</v>
      </c>
      <c r="W341">
        <f t="shared" si="81"/>
        <v>1290</v>
      </c>
      <c r="X341">
        <f t="shared" si="84"/>
        <v>3390</v>
      </c>
      <c r="Y341">
        <f t="shared" si="82"/>
        <v>60</v>
      </c>
      <c r="Z341" s="4">
        <f t="shared" si="91"/>
        <v>2666666.6666666665</v>
      </c>
      <c r="AA341" s="3">
        <f t="shared" si="91"/>
        <v>60</v>
      </c>
      <c r="AB341" t="str">
        <f t="shared" si="79"/>
        <v>28B0AA</v>
      </c>
    </row>
    <row r="342" spans="14:28">
      <c r="N342">
        <v>340</v>
      </c>
      <c r="O342">
        <f t="shared" si="85"/>
        <v>1400</v>
      </c>
      <c r="P342">
        <f t="shared" si="86"/>
        <v>3400</v>
      </c>
      <c r="Q342">
        <f t="shared" si="87"/>
        <v>83</v>
      </c>
      <c r="R342" s="4">
        <f t="shared" si="88"/>
        <v>1927710.843373494</v>
      </c>
      <c r="S342" s="3">
        <f t="shared" si="89"/>
        <v>83</v>
      </c>
      <c r="T342" t="str">
        <f t="shared" si="90"/>
        <v>1D6A1E</v>
      </c>
      <c r="V342">
        <v>340</v>
      </c>
      <c r="W342">
        <f t="shared" si="81"/>
        <v>1300</v>
      </c>
      <c r="X342">
        <f t="shared" si="84"/>
        <v>3400</v>
      </c>
      <c r="Y342">
        <f t="shared" si="82"/>
        <v>60</v>
      </c>
      <c r="Z342" s="4">
        <f t="shared" si="91"/>
        <v>2666666.6666666665</v>
      </c>
      <c r="AA342" s="3">
        <f t="shared" si="91"/>
        <v>60</v>
      </c>
      <c r="AB342" t="str">
        <f t="shared" si="79"/>
        <v>28B0AA</v>
      </c>
    </row>
    <row r="343" spans="14:28">
      <c r="N343">
        <v>341</v>
      </c>
      <c r="O343">
        <f t="shared" si="85"/>
        <v>1410</v>
      </c>
      <c r="P343">
        <f t="shared" si="86"/>
        <v>3410</v>
      </c>
      <c r="Q343">
        <f t="shared" si="87"/>
        <v>75.2</v>
      </c>
      <c r="R343" s="4">
        <f t="shared" si="88"/>
        <v>2127659.5744680851</v>
      </c>
      <c r="S343" s="3">
        <f t="shared" si="89"/>
        <v>75.2</v>
      </c>
      <c r="T343" t="str">
        <f t="shared" si="90"/>
        <v>20772B</v>
      </c>
      <c r="V343">
        <v>341</v>
      </c>
      <c r="W343">
        <f t="shared" si="81"/>
        <v>1310</v>
      </c>
      <c r="X343">
        <f t="shared" si="84"/>
        <v>3410</v>
      </c>
      <c r="Y343">
        <f t="shared" si="82"/>
        <v>60</v>
      </c>
      <c r="Z343" s="4">
        <f t="shared" si="91"/>
        <v>2666666.6666666665</v>
      </c>
      <c r="AA343" s="3">
        <f t="shared" si="91"/>
        <v>60</v>
      </c>
      <c r="AB343" t="str">
        <f t="shared" si="79"/>
        <v>28B0AA</v>
      </c>
    </row>
    <row r="344" spans="14:28">
      <c r="N344">
        <v>342</v>
      </c>
      <c r="O344">
        <f t="shared" si="85"/>
        <v>1420</v>
      </c>
      <c r="P344">
        <f t="shared" si="86"/>
        <v>3420</v>
      </c>
      <c r="Q344">
        <f t="shared" si="87"/>
        <v>67.400000000000006</v>
      </c>
      <c r="R344" s="4">
        <f t="shared" si="88"/>
        <v>2373887.240356083</v>
      </c>
      <c r="S344" s="3">
        <f t="shared" si="89"/>
        <v>67.400000000000006</v>
      </c>
      <c r="T344" t="str">
        <f t="shared" si="90"/>
        <v>2438FF</v>
      </c>
      <c r="V344">
        <v>342</v>
      </c>
      <c r="W344">
        <f t="shared" si="81"/>
        <v>1320</v>
      </c>
      <c r="X344">
        <f t="shared" si="84"/>
        <v>3420</v>
      </c>
      <c r="Y344">
        <f t="shared" si="82"/>
        <v>60</v>
      </c>
      <c r="Z344" s="4">
        <f t="shared" si="91"/>
        <v>2666666.6666666665</v>
      </c>
      <c r="AA344" s="3">
        <f t="shared" si="91"/>
        <v>60</v>
      </c>
      <c r="AB344" t="str">
        <f t="shared" si="79"/>
        <v>28B0AA</v>
      </c>
    </row>
    <row r="345" spans="14:28">
      <c r="N345">
        <v>343</v>
      </c>
      <c r="O345">
        <f t="shared" si="85"/>
        <v>1430</v>
      </c>
      <c r="P345">
        <f t="shared" si="86"/>
        <v>3430</v>
      </c>
      <c r="Q345">
        <f t="shared" si="87"/>
        <v>59.600000000000009</v>
      </c>
      <c r="R345" s="4">
        <f t="shared" si="88"/>
        <v>2684563.7583892616</v>
      </c>
      <c r="S345" s="3">
        <f t="shared" si="89"/>
        <v>59.6</v>
      </c>
      <c r="T345" t="str">
        <f t="shared" si="90"/>
        <v>28F693</v>
      </c>
      <c r="V345">
        <v>343</v>
      </c>
      <c r="W345">
        <f t="shared" si="81"/>
        <v>1330</v>
      </c>
      <c r="X345">
        <f t="shared" si="84"/>
        <v>3430</v>
      </c>
      <c r="Y345">
        <f t="shared" si="82"/>
        <v>60</v>
      </c>
      <c r="Z345" s="4">
        <f t="shared" si="91"/>
        <v>2666666.6666666665</v>
      </c>
      <c r="AA345" s="3">
        <f t="shared" si="91"/>
        <v>60</v>
      </c>
      <c r="AB345" t="str">
        <f t="shared" si="79"/>
        <v>28B0AA</v>
      </c>
    </row>
    <row r="346" spans="14:28">
      <c r="N346">
        <v>344</v>
      </c>
      <c r="O346">
        <f t="shared" si="85"/>
        <v>1440</v>
      </c>
      <c r="P346">
        <f t="shared" si="86"/>
        <v>3440</v>
      </c>
      <c r="Q346">
        <f t="shared" si="87"/>
        <v>51.8</v>
      </c>
      <c r="R346" s="4">
        <f t="shared" si="88"/>
        <v>3088803.0888030888</v>
      </c>
      <c r="S346" s="3">
        <f t="shared" si="89"/>
        <v>51.800000000000004</v>
      </c>
      <c r="T346" t="str">
        <f t="shared" si="90"/>
        <v>2F21A3</v>
      </c>
      <c r="V346">
        <v>344</v>
      </c>
      <c r="W346">
        <f t="shared" si="81"/>
        <v>1340</v>
      </c>
      <c r="X346">
        <f t="shared" si="84"/>
        <v>3440</v>
      </c>
      <c r="Y346">
        <f t="shared" si="82"/>
        <v>60</v>
      </c>
      <c r="Z346" s="4">
        <f t="shared" si="91"/>
        <v>2666666.6666666665</v>
      </c>
      <c r="AA346" s="3">
        <f t="shared" si="91"/>
        <v>60</v>
      </c>
      <c r="AB346" t="str">
        <f t="shared" si="79"/>
        <v>28B0AA</v>
      </c>
    </row>
    <row r="347" spans="14:28">
      <c r="N347">
        <v>345</v>
      </c>
      <c r="O347">
        <f t="shared" si="85"/>
        <v>1450</v>
      </c>
      <c r="P347">
        <f t="shared" si="86"/>
        <v>3450</v>
      </c>
      <c r="Q347">
        <f t="shared" si="87"/>
        <v>44</v>
      </c>
      <c r="R347" s="4">
        <f t="shared" si="88"/>
        <v>3636363.6363636362</v>
      </c>
      <c r="S347" s="3">
        <f t="shared" si="89"/>
        <v>44</v>
      </c>
      <c r="T347" t="str">
        <f t="shared" si="90"/>
        <v>377C8B</v>
      </c>
      <c r="V347">
        <v>345</v>
      </c>
      <c r="W347">
        <f t="shared" si="81"/>
        <v>1350</v>
      </c>
      <c r="X347">
        <f t="shared" si="84"/>
        <v>3450</v>
      </c>
      <c r="Y347">
        <f t="shared" si="82"/>
        <v>60</v>
      </c>
      <c r="Z347" s="4">
        <f t="shared" si="91"/>
        <v>2666666.6666666665</v>
      </c>
      <c r="AA347" s="3">
        <f t="shared" si="91"/>
        <v>60</v>
      </c>
      <c r="AB347" t="str">
        <f t="shared" si="79"/>
        <v>28B0AA</v>
      </c>
    </row>
    <row r="348" spans="14:28">
      <c r="N348">
        <v>346</v>
      </c>
      <c r="O348">
        <f t="shared" si="85"/>
        <v>1460</v>
      </c>
      <c r="P348">
        <f t="shared" si="86"/>
        <v>3460</v>
      </c>
      <c r="Q348">
        <f t="shared" si="87"/>
        <v>36.200000000000003</v>
      </c>
      <c r="R348" s="4">
        <f t="shared" si="88"/>
        <v>4419889.5027624303</v>
      </c>
      <c r="S348" s="3">
        <f t="shared" si="89"/>
        <v>36.200000000000003</v>
      </c>
      <c r="T348" t="str">
        <f t="shared" si="90"/>
        <v>437131</v>
      </c>
      <c r="V348">
        <v>346</v>
      </c>
      <c r="W348">
        <f t="shared" si="81"/>
        <v>1360</v>
      </c>
      <c r="X348">
        <f t="shared" si="84"/>
        <v>3460</v>
      </c>
      <c r="Y348">
        <f t="shared" si="82"/>
        <v>60</v>
      </c>
      <c r="Z348" s="4">
        <f t="shared" si="91"/>
        <v>2666666.6666666665</v>
      </c>
      <c r="AA348" s="3">
        <f t="shared" si="91"/>
        <v>60</v>
      </c>
      <c r="AB348" t="str">
        <f t="shared" si="79"/>
        <v>28B0AA</v>
      </c>
    </row>
    <row r="349" spans="14:28">
      <c r="N349">
        <v>347</v>
      </c>
      <c r="O349">
        <f t="shared" si="85"/>
        <v>1470</v>
      </c>
      <c r="P349">
        <f t="shared" si="86"/>
        <v>3470</v>
      </c>
      <c r="Q349">
        <f t="shared" si="87"/>
        <v>28.4</v>
      </c>
      <c r="R349" s="4">
        <f t="shared" si="88"/>
        <v>5633802.8169014091</v>
      </c>
      <c r="S349" s="3">
        <f t="shared" si="89"/>
        <v>28.4</v>
      </c>
      <c r="T349" t="str">
        <f t="shared" si="90"/>
        <v>55F70A</v>
      </c>
      <c r="V349">
        <v>347</v>
      </c>
      <c r="W349">
        <f t="shared" si="81"/>
        <v>1370</v>
      </c>
      <c r="X349">
        <f t="shared" si="84"/>
        <v>3470</v>
      </c>
      <c r="Y349">
        <f t="shared" si="82"/>
        <v>60</v>
      </c>
      <c r="Z349" s="4">
        <f t="shared" si="91"/>
        <v>2666666.6666666665</v>
      </c>
      <c r="AA349" s="3">
        <f t="shared" si="91"/>
        <v>60</v>
      </c>
      <c r="AB349" t="str">
        <f t="shared" si="79"/>
        <v>28B0AA</v>
      </c>
    </row>
    <row r="350" spans="14:28">
      <c r="N350">
        <v>348</v>
      </c>
      <c r="O350">
        <f t="shared" si="85"/>
        <v>1480</v>
      </c>
      <c r="P350">
        <f t="shared" si="86"/>
        <v>3480</v>
      </c>
      <c r="Q350">
        <f t="shared" si="87"/>
        <v>20.6</v>
      </c>
      <c r="R350" s="4">
        <f t="shared" si="88"/>
        <v>7766990.2912621358</v>
      </c>
      <c r="S350" s="3">
        <f t="shared" si="89"/>
        <v>20.6</v>
      </c>
      <c r="T350" t="str">
        <f t="shared" si="90"/>
        <v>7683CE</v>
      </c>
      <c r="V350">
        <v>348</v>
      </c>
      <c r="W350">
        <f t="shared" si="81"/>
        <v>1380</v>
      </c>
      <c r="X350">
        <f t="shared" si="84"/>
        <v>3480</v>
      </c>
      <c r="Y350">
        <f t="shared" si="82"/>
        <v>60</v>
      </c>
      <c r="Z350" s="4">
        <f t="shared" si="91"/>
        <v>2666666.6666666665</v>
      </c>
      <c r="AA350" s="3">
        <f t="shared" si="91"/>
        <v>60</v>
      </c>
      <c r="AB350" t="str">
        <f t="shared" si="79"/>
        <v>28B0AA</v>
      </c>
    </row>
    <row r="351" spans="14:28">
      <c r="N351">
        <v>349</v>
      </c>
      <c r="O351">
        <f t="shared" si="85"/>
        <v>1490</v>
      </c>
      <c r="P351">
        <f t="shared" si="86"/>
        <v>3490</v>
      </c>
      <c r="Q351">
        <f t="shared" si="87"/>
        <v>12.8</v>
      </c>
      <c r="R351" s="4">
        <f t="shared" si="88"/>
        <v>12500000</v>
      </c>
      <c r="S351" s="3">
        <f t="shared" si="89"/>
        <v>12.8</v>
      </c>
      <c r="T351" t="str">
        <f t="shared" si="90"/>
        <v>BEBC20</v>
      </c>
      <c r="V351">
        <v>349</v>
      </c>
      <c r="W351">
        <f t="shared" si="81"/>
        <v>1390</v>
      </c>
      <c r="X351">
        <f t="shared" si="84"/>
        <v>3490</v>
      </c>
      <c r="Y351">
        <f t="shared" si="82"/>
        <v>60</v>
      </c>
      <c r="Z351" s="4">
        <f t="shared" si="91"/>
        <v>2666666.6666666665</v>
      </c>
      <c r="AA351" s="3">
        <f t="shared" si="91"/>
        <v>60</v>
      </c>
      <c r="AB351" t="str">
        <f t="shared" si="79"/>
        <v>28B0AA</v>
      </c>
    </row>
    <row r="352" spans="14:28">
      <c r="N352">
        <v>350</v>
      </c>
      <c r="O352">
        <f t="shared" si="85"/>
        <v>1500</v>
      </c>
      <c r="P352">
        <f t="shared" si="86"/>
        <v>3500</v>
      </c>
      <c r="Q352">
        <f t="shared" si="87"/>
        <v>5</v>
      </c>
      <c r="R352" s="4">
        <f t="shared" si="88"/>
        <v>32000000</v>
      </c>
      <c r="S352" s="3">
        <f t="shared" si="89"/>
        <v>5</v>
      </c>
      <c r="T352" t="str">
        <f t="shared" si="90"/>
        <v>1E84800</v>
      </c>
      <c r="V352">
        <v>350</v>
      </c>
      <c r="W352">
        <f t="shared" si="81"/>
        <v>1400</v>
      </c>
      <c r="X352">
        <f t="shared" si="84"/>
        <v>3500</v>
      </c>
      <c r="Y352">
        <f t="shared" si="82"/>
        <v>60</v>
      </c>
      <c r="Z352" s="4">
        <f t="shared" si="91"/>
        <v>2666666.6666666665</v>
      </c>
      <c r="AA352" s="3">
        <f t="shared" si="91"/>
        <v>60</v>
      </c>
      <c r="AB352" t="str">
        <f t="shared" si="79"/>
        <v>28B0AA</v>
      </c>
    </row>
    <row r="353" spans="14:28">
      <c r="N353">
        <v>351</v>
      </c>
      <c r="O353">
        <f t="shared" si="85"/>
        <v>1510</v>
      </c>
      <c r="P353">
        <f t="shared" si="86"/>
        <v>3510</v>
      </c>
      <c r="Q353">
        <f t="shared" si="87"/>
        <v>0</v>
      </c>
      <c r="R353" s="4">
        <f t="shared" si="88"/>
        <v>0</v>
      </c>
      <c r="S353" s="3">
        <f t="shared" si="89"/>
        <v>0</v>
      </c>
      <c r="T353" t="str">
        <f t="shared" si="90"/>
        <v>0</v>
      </c>
      <c r="V353">
        <v>351</v>
      </c>
      <c r="W353">
        <f t="shared" si="81"/>
        <v>1410</v>
      </c>
      <c r="X353">
        <f t="shared" si="84"/>
        <v>3510</v>
      </c>
      <c r="Y353">
        <f t="shared" si="82"/>
        <v>60</v>
      </c>
      <c r="Z353" s="4">
        <f t="shared" si="91"/>
        <v>2666666.6666666665</v>
      </c>
      <c r="AA353" s="3">
        <f t="shared" si="91"/>
        <v>60</v>
      </c>
      <c r="AB353" t="str">
        <f t="shared" si="79"/>
        <v>28B0AA</v>
      </c>
    </row>
    <row r="354" spans="14:28">
      <c r="N354">
        <v>352</v>
      </c>
      <c r="O354">
        <f t="shared" si="85"/>
        <v>1520</v>
      </c>
      <c r="P354">
        <f t="shared" si="86"/>
        <v>3520</v>
      </c>
      <c r="Q354">
        <f t="shared" si="87"/>
        <v>0</v>
      </c>
      <c r="R354" s="4">
        <f t="shared" si="88"/>
        <v>0</v>
      </c>
      <c r="S354" s="3">
        <f t="shared" si="89"/>
        <v>0</v>
      </c>
      <c r="T354" t="str">
        <f t="shared" si="90"/>
        <v>0</v>
      </c>
      <c r="V354">
        <v>352</v>
      </c>
      <c r="W354">
        <f t="shared" si="81"/>
        <v>1420</v>
      </c>
      <c r="X354">
        <f t="shared" si="84"/>
        <v>3520</v>
      </c>
      <c r="Y354">
        <f t="shared" si="82"/>
        <v>60</v>
      </c>
      <c r="Z354" s="4">
        <f t="shared" si="91"/>
        <v>2666666.6666666665</v>
      </c>
      <c r="AA354" s="3">
        <f t="shared" si="91"/>
        <v>60</v>
      </c>
      <c r="AB354" t="str">
        <f t="shared" ref="AB354:AB417" si="92">DEC2HEX(Z354)</f>
        <v>28B0AA</v>
      </c>
    </row>
    <row r="355" spans="14:28">
      <c r="N355">
        <v>353</v>
      </c>
      <c r="O355">
        <f t="shared" si="85"/>
        <v>1530</v>
      </c>
      <c r="P355">
        <f t="shared" si="86"/>
        <v>3530</v>
      </c>
      <c r="Q355">
        <f t="shared" si="87"/>
        <v>0</v>
      </c>
      <c r="R355" s="4">
        <f t="shared" si="88"/>
        <v>0</v>
      </c>
      <c r="S355" s="3">
        <f t="shared" si="89"/>
        <v>0</v>
      </c>
      <c r="T355" t="str">
        <f t="shared" si="90"/>
        <v>0</v>
      </c>
      <c r="V355">
        <v>353</v>
      </c>
      <c r="W355">
        <f t="shared" si="81"/>
        <v>1430</v>
      </c>
      <c r="X355">
        <f t="shared" si="84"/>
        <v>3530</v>
      </c>
      <c r="Y355">
        <f t="shared" si="82"/>
        <v>60</v>
      </c>
      <c r="Z355" s="4">
        <f t="shared" si="91"/>
        <v>2666666.6666666665</v>
      </c>
      <c r="AA355" s="3">
        <f t="shared" si="91"/>
        <v>60</v>
      </c>
      <c r="AB355" t="str">
        <f t="shared" si="92"/>
        <v>28B0AA</v>
      </c>
    </row>
    <row r="356" spans="14:28">
      <c r="N356">
        <v>354</v>
      </c>
      <c r="O356">
        <f t="shared" si="85"/>
        <v>1540</v>
      </c>
      <c r="P356">
        <f t="shared" si="86"/>
        <v>3540</v>
      </c>
      <c r="Q356">
        <f t="shared" si="87"/>
        <v>0</v>
      </c>
      <c r="R356" s="4">
        <f t="shared" si="88"/>
        <v>0</v>
      </c>
      <c r="S356" s="3">
        <f t="shared" si="89"/>
        <v>0</v>
      </c>
      <c r="T356" t="str">
        <f t="shared" si="90"/>
        <v>0</v>
      </c>
      <c r="V356">
        <v>354</v>
      </c>
      <c r="W356">
        <f t="shared" si="81"/>
        <v>1440</v>
      </c>
      <c r="X356">
        <f t="shared" si="84"/>
        <v>3540</v>
      </c>
      <c r="Y356">
        <f t="shared" si="82"/>
        <v>60</v>
      </c>
      <c r="Z356" s="4">
        <f t="shared" si="91"/>
        <v>2666666.6666666665</v>
      </c>
      <c r="AA356" s="3">
        <f t="shared" si="91"/>
        <v>60</v>
      </c>
      <c r="AB356" t="str">
        <f t="shared" si="92"/>
        <v>28B0AA</v>
      </c>
    </row>
    <row r="357" spans="14:28">
      <c r="N357">
        <v>355</v>
      </c>
      <c r="O357">
        <f t="shared" si="85"/>
        <v>1550</v>
      </c>
      <c r="P357">
        <f t="shared" si="86"/>
        <v>3550</v>
      </c>
      <c r="Q357">
        <f t="shared" si="87"/>
        <v>0</v>
      </c>
      <c r="R357" s="4">
        <f t="shared" si="88"/>
        <v>0</v>
      </c>
      <c r="S357" s="3">
        <f t="shared" si="89"/>
        <v>0</v>
      </c>
      <c r="T357" t="str">
        <f t="shared" si="90"/>
        <v>0</v>
      </c>
      <c r="V357">
        <v>355</v>
      </c>
      <c r="W357">
        <f t="shared" si="81"/>
        <v>1450</v>
      </c>
      <c r="X357">
        <f t="shared" si="84"/>
        <v>3550</v>
      </c>
      <c r="Y357">
        <f t="shared" si="82"/>
        <v>60</v>
      </c>
      <c r="Z357" s="4">
        <f t="shared" si="91"/>
        <v>2666666.6666666665</v>
      </c>
      <c r="AA357" s="3">
        <f t="shared" si="91"/>
        <v>60</v>
      </c>
      <c r="AB357" t="str">
        <f t="shared" si="92"/>
        <v>28B0AA</v>
      </c>
    </row>
    <row r="358" spans="14:28">
      <c r="N358">
        <v>356</v>
      </c>
      <c r="O358">
        <f t="shared" si="85"/>
        <v>1560</v>
      </c>
      <c r="P358">
        <f t="shared" si="86"/>
        <v>3560</v>
      </c>
      <c r="Q358">
        <f t="shared" si="87"/>
        <v>0</v>
      </c>
      <c r="R358" s="4">
        <f t="shared" si="88"/>
        <v>0</v>
      </c>
      <c r="S358" s="3">
        <f t="shared" si="89"/>
        <v>0</v>
      </c>
      <c r="T358" t="str">
        <f t="shared" si="90"/>
        <v>0</v>
      </c>
      <c r="V358">
        <v>356</v>
      </c>
      <c r="W358">
        <f t="shared" si="81"/>
        <v>1460</v>
      </c>
      <c r="X358">
        <f t="shared" si="84"/>
        <v>3560</v>
      </c>
      <c r="Y358">
        <f t="shared" si="82"/>
        <v>60</v>
      </c>
      <c r="Z358" s="4">
        <f t="shared" si="91"/>
        <v>2666666.6666666665</v>
      </c>
      <c r="AA358" s="3">
        <f t="shared" si="91"/>
        <v>60</v>
      </c>
      <c r="AB358" t="str">
        <f t="shared" si="92"/>
        <v>28B0AA</v>
      </c>
    </row>
    <row r="359" spans="14:28">
      <c r="N359">
        <v>357</v>
      </c>
      <c r="O359">
        <f t="shared" si="85"/>
        <v>1570</v>
      </c>
      <c r="P359">
        <f t="shared" si="86"/>
        <v>3570</v>
      </c>
      <c r="Q359">
        <f t="shared" si="87"/>
        <v>0</v>
      </c>
      <c r="R359" s="4">
        <f t="shared" si="88"/>
        <v>0</v>
      </c>
      <c r="S359" s="3">
        <f t="shared" si="89"/>
        <v>0</v>
      </c>
      <c r="T359" t="str">
        <f t="shared" si="90"/>
        <v>0</v>
      </c>
      <c r="V359">
        <v>357</v>
      </c>
      <c r="W359">
        <f t="shared" si="81"/>
        <v>1470</v>
      </c>
      <c r="X359">
        <f t="shared" si="84"/>
        <v>3570</v>
      </c>
      <c r="Y359">
        <f t="shared" si="82"/>
        <v>60</v>
      </c>
      <c r="Z359" s="4">
        <f t="shared" ref="Z359:AA378" si="93">IFERROR(160*1000*1000/Y359,0)</f>
        <v>2666666.6666666665</v>
      </c>
      <c r="AA359" s="3">
        <f t="shared" si="93"/>
        <v>60</v>
      </c>
      <c r="AB359" t="str">
        <f t="shared" si="92"/>
        <v>28B0AA</v>
      </c>
    </row>
    <row r="360" spans="14:28">
      <c r="N360">
        <v>358</v>
      </c>
      <c r="O360">
        <f t="shared" si="85"/>
        <v>1580</v>
      </c>
      <c r="P360">
        <f t="shared" si="86"/>
        <v>3580</v>
      </c>
      <c r="Q360">
        <f t="shared" si="87"/>
        <v>0</v>
      </c>
      <c r="R360" s="4">
        <f t="shared" si="88"/>
        <v>0</v>
      </c>
      <c r="S360" s="3">
        <f t="shared" si="89"/>
        <v>0</v>
      </c>
      <c r="T360" t="str">
        <f t="shared" si="90"/>
        <v>0</v>
      </c>
      <c r="V360">
        <v>358</v>
      </c>
      <c r="W360">
        <f t="shared" si="81"/>
        <v>1480</v>
      </c>
      <c r="X360">
        <f t="shared" si="84"/>
        <v>3580</v>
      </c>
      <c r="Y360">
        <f t="shared" si="82"/>
        <v>60</v>
      </c>
      <c r="Z360" s="4">
        <f t="shared" si="93"/>
        <v>2666666.6666666665</v>
      </c>
      <c r="AA360" s="3">
        <f t="shared" si="93"/>
        <v>60</v>
      </c>
      <c r="AB360" t="str">
        <f t="shared" si="92"/>
        <v>28B0AA</v>
      </c>
    </row>
    <row r="361" spans="14:28">
      <c r="N361">
        <v>359</v>
      </c>
      <c r="O361">
        <f t="shared" si="85"/>
        <v>1590</v>
      </c>
      <c r="P361">
        <f t="shared" si="86"/>
        <v>3590</v>
      </c>
      <c r="Q361">
        <f t="shared" si="87"/>
        <v>0</v>
      </c>
      <c r="R361" s="4">
        <f t="shared" si="88"/>
        <v>0</v>
      </c>
      <c r="S361" s="3">
        <f t="shared" si="89"/>
        <v>0</v>
      </c>
      <c r="T361" t="str">
        <f t="shared" si="90"/>
        <v>0</v>
      </c>
      <c r="V361">
        <v>359</v>
      </c>
      <c r="W361">
        <f t="shared" si="81"/>
        <v>1490</v>
      </c>
      <c r="X361">
        <f t="shared" si="84"/>
        <v>3590</v>
      </c>
      <c r="Y361">
        <f t="shared" si="82"/>
        <v>60</v>
      </c>
      <c r="Z361" s="4">
        <f t="shared" si="93"/>
        <v>2666666.6666666665</v>
      </c>
      <c r="AA361" s="3">
        <f t="shared" si="93"/>
        <v>60</v>
      </c>
      <c r="AB361" t="str">
        <f t="shared" si="92"/>
        <v>28B0AA</v>
      </c>
    </row>
    <row r="362" spans="14:28">
      <c r="N362">
        <v>360</v>
      </c>
      <c r="O362">
        <f t="shared" si="85"/>
        <v>1600</v>
      </c>
      <c r="P362">
        <f t="shared" si="86"/>
        <v>3600</v>
      </c>
      <c r="Q362">
        <f t="shared" si="87"/>
        <v>0</v>
      </c>
      <c r="R362" s="4">
        <f t="shared" si="88"/>
        <v>0</v>
      </c>
      <c r="S362" s="3">
        <f t="shared" si="89"/>
        <v>0</v>
      </c>
      <c r="T362" t="str">
        <f t="shared" si="90"/>
        <v>0</v>
      </c>
      <c r="V362">
        <v>360</v>
      </c>
      <c r="W362">
        <f t="shared" si="81"/>
        <v>1500</v>
      </c>
      <c r="X362">
        <f t="shared" si="84"/>
        <v>3600</v>
      </c>
      <c r="Y362">
        <f t="shared" si="82"/>
        <v>60</v>
      </c>
      <c r="Z362" s="4">
        <f t="shared" si="93"/>
        <v>2666666.6666666665</v>
      </c>
      <c r="AA362" s="3">
        <f t="shared" si="93"/>
        <v>60</v>
      </c>
      <c r="AB362" t="str">
        <f t="shared" si="92"/>
        <v>28B0AA</v>
      </c>
    </row>
    <row r="363" spans="14:28">
      <c r="N363">
        <v>361</v>
      </c>
      <c r="O363">
        <f t="shared" si="85"/>
        <v>1610</v>
      </c>
      <c r="P363">
        <f t="shared" si="86"/>
        <v>3610</v>
      </c>
      <c r="Q363">
        <f t="shared" si="87"/>
        <v>0</v>
      </c>
      <c r="R363" s="4">
        <f t="shared" si="88"/>
        <v>0</v>
      </c>
      <c r="S363" s="3">
        <f t="shared" si="89"/>
        <v>0</v>
      </c>
      <c r="T363" t="str">
        <f t="shared" si="90"/>
        <v>0</v>
      </c>
      <c r="V363">
        <v>361</v>
      </c>
      <c r="W363">
        <f t="shared" si="81"/>
        <v>1510</v>
      </c>
      <c r="X363">
        <f t="shared" si="84"/>
        <v>3610</v>
      </c>
      <c r="Y363">
        <f t="shared" si="82"/>
        <v>60</v>
      </c>
      <c r="Z363" s="4">
        <f t="shared" si="93"/>
        <v>2666666.6666666665</v>
      </c>
      <c r="AA363" s="3">
        <f t="shared" si="93"/>
        <v>60</v>
      </c>
      <c r="AB363" t="str">
        <f t="shared" si="92"/>
        <v>28B0AA</v>
      </c>
    </row>
    <row r="364" spans="14:28">
      <c r="N364">
        <v>362</v>
      </c>
      <c r="O364">
        <f t="shared" si="85"/>
        <v>1620</v>
      </c>
      <c r="P364">
        <f t="shared" si="86"/>
        <v>3620</v>
      </c>
      <c r="Q364">
        <f t="shared" si="87"/>
        <v>0</v>
      </c>
      <c r="R364" s="4">
        <f t="shared" si="88"/>
        <v>0</v>
      </c>
      <c r="S364" s="3">
        <f t="shared" si="89"/>
        <v>0</v>
      </c>
      <c r="T364" t="str">
        <f t="shared" si="90"/>
        <v>0</v>
      </c>
      <c r="V364">
        <v>362</v>
      </c>
      <c r="W364">
        <f t="shared" si="81"/>
        <v>1520</v>
      </c>
      <c r="X364">
        <f t="shared" si="84"/>
        <v>3620</v>
      </c>
      <c r="Y364">
        <f t="shared" si="82"/>
        <v>60</v>
      </c>
      <c r="Z364" s="4">
        <f t="shared" si="93"/>
        <v>2666666.6666666665</v>
      </c>
      <c r="AA364" s="3">
        <f t="shared" si="93"/>
        <v>60</v>
      </c>
      <c r="AB364" t="str">
        <f t="shared" si="92"/>
        <v>28B0AA</v>
      </c>
    </row>
    <row r="365" spans="14:28">
      <c r="N365">
        <v>363</v>
      </c>
      <c r="O365">
        <f t="shared" si="85"/>
        <v>1630</v>
      </c>
      <c r="P365">
        <f t="shared" si="86"/>
        <v>3630</v>
      </c>
      <c r="Q365">
        <f t="shared" si="87"/>
        <v>0</v>
      </c>
      <c r="R365" s="4">
        <f t="shared" si="88"/>
        <v>0</v>
      </c>
      <c r="S365" s="3">
        <f t="shared" si="89"/>
        <v>0</v>
      </c>
      <c r="T365" t="str">
        <f t="shared" si="90"/>
        <v>0</v>
      </c>
      <c r="V365">
        <v>363</v>
      </c>
      <c r="W365">
        <f t="shared" si="81"/>
        <v>1530</v>
      </c>
      <c r="X365">
        <f t="shared" si="84"/>
        <v>3630</v>
      </c>
      <c r="Y365">
        <f t="shared" si="82"/>
        <v>60</v>
      </c>
      <c r="Z365" s="4">
        <f t="shared" si="93"/>
        <v>2666666.6666666665</v>
      </c>
      <c r="AA365" s="3">
        <f t="shared" si="93"/>
        <v>60</v>
      </c>
      <c r="AB365" t="str">
        <f t="shared" si="92"/>
        <v>28B0AA</v>
      </c>
    </row>
    <row r="366" spans="14:28">
      <c r="N366">
        <v>364</v>
      </c>
      <c r="O366">
        <f t="shared" si="85"/>
        <v>1640</v>
      </c>
      <c r="P366">
        <f t="shared" si="86"/>
        <v>3640</v>
      </c>
      <c r="Q366">
        <f t="shared" si="87"/>
        <v>0</v>
      </c>
      <c r="R366" s="4">
        <f t="shared" si="88"/>
        <v>0</v>
      </c>
      <c r="S366" s="3">
        <f t="shared" si="89"/>
        <v>0</v>
      </c>
      <c r="T366" t="str">
        <f t="shared" si="90"/>
        <v>0</v>
      </c>
      <c r="V366">
        <v>364</v>
      </c>
      <c r="W366">
        <f t="shared" si="81"/>
        <v>1540</v>
      </c>
      <c r="X366">
        <f t="shared" si="84"/>
        <v>3640</v>
      </c>
      <c r="Y366">
        <f t="shared" si="82"/>
        <v>60</v>
      </c>
      <c r="Z366" s="4">
        <f t="shared" si="93"/>
        <v>2666666.6666666665</v>
      </c>
      <c r="AA366" s="3">
        <f t="shared" si="93"/>
        <v>60</v>
      </c>
      <c r="AB366" t="str">
        <f t="shared" si="92"/>
        <v>28B0AA</v>
      </c>
    </row>
    <row r="367" spans="14:28">
      <c r="N367">
        <v>365</v>
      </c>
      <c r="O367">
        <f t="shared" si="85"/>
        <v>1650</v>
      </c>
      <c r="P367">
        <f t="shared" si="86"/>
        <v>3650</v>
      </c>
      <c r="Q367">
        <f t="shared" si="87"/>
        <v>0</v>
      </c>
      <c r="R367" s="4">
        <f t="shared" si="88"/>
        <v>0</v>
      </c>
      <c r="S367" s="3">
        <f t="shared" si="89"/>
        <v>0</v>
      </c>
      <c r="T367" t="str">
        <f t="shared" si="90"/>
        <v>0</v>
      </c>
      <c r="V367">
        <v>365</v>
      </c>
      <c r="W367">
        <f t="shared" si="81"/>
        <v>1550</v>
      </c>
      <c r="X367">
        <f t="shared" si="84"/>
        <v>3650</v>
      </c>
      <c r="Y367">
        <f t="shared" si="82"/>
        <v>60</v>
      </c>
      <c r="Z367" s="4">
        <f t="shared" si="93"/>
        <v>2666666.6666666665</v>
      </c>
      <c r="AA367" s="3">
        <f t="shared" si="93"/>
        <v>60</v>
      </c>
      <c r="AB367" t="str">
        <f t="shared" si="92"/>
        <v>28B0AA</v>
      </c>
    </row>
    <row r="368" spans="14:28">
      <c r="N368">
        <v>366</v>
      </c>
      <c r="O368">
        <f t="shared" si="85"/>
        <v>1660</v>
      </c>
      <c r="P368">
        <f t="shared" si="86"/>
        <v>3660</v>
      </c>
      <c r="Q368">
        <f t="shared" si="87"/>
        <v>0</v>
      </c>
      <c r="R368" s="4">
        <f t="shared" si="88"/>
        <v>0</v>
      </c>
      <c r="S368" s="3">
        <f t="shared" si="89"/>
        <v>0</v>
      </c>
      <c r="T368" t="str">
        <f t="shared" si="90"/>
        <v>0</v>
      </c>
      <c r="V368">
        <v>366</v>
      </c>
      <c r="W368">
        <f t="shared" si="81"/>
        <v>1560</v>
      </c>
      <c r="X368">
        <f t="shared" si="84"/>
        <v>3660</v>
      </c>
      <c r="Y368">
        <f t="shared" si="82"/>
        <v>60</v>
      </c>
      <c r="Z368" s="4">
        <f t="shared" si="93"/>
        <v>2666666.6666666665</v>
      </c>
      <c r="AA368" s="3">
        <f t="shared" si="93"/>
        <v>60</v>
      </c>
      <c r="AB368" t="str">
        <f t="shared" si="92"/>
        <v>28B0AA</v>
      </c>
    </row>
    <row r="369" spans="14:28">
      <c r="N369">
        <v>367</v>
      </c>
      <c r="O369">
        <f t="shared" si="85"/>
        <v>1670</v>
      </c>
      <c r="P369">
        <f t="shared" si="86"/>
        <v>3670</v>
      </c>
      <c r="Q369">
        <f t="shared" si="87"/>
        <v>0</v>
      </c>
      <c r="R369" s="4">
        <f t="shared" si="88"/>
        <v>0</v>
      </c>
      <c r="S369" s="3">
        <f t="shared" si="89"/>
        <v>0</v>
      </c>
      <c r="T369" t="str">
        <f t="shared" si="90"/>
        <v>0</v>
      </c>
      <c r="V369">
        <v>367</v>
      </c>
      <c r="W369">
        <f t="shared" si="81"/>
        <v>1570</v>
      </c>
      <c r="X369">
        <f t="shared" si="84"/>
        <v>3670</v>
      </c>
      <c r="Y369">
        <f t="shared" si="82"/>
        <v>60</v>
      </c>
      <c r="Z369" s="4">
        <f t="shared" si="93"/>
        <v>2666666.6666666665</v>
      </c>
      <c r="AA369" s="3">
        <f t="shared" si="93"/>
        <v>60</v>
      </c>
      <c r="AB369" t="str">
        <f t="shared" si="92"/>
        <v>28B0AA</v>
      </c>
    </row>
    <row r="370" spans="14:28">
      <c r="N370">
        <v>368</v>
      </c>
      <c r="O370">
        <f t="shared" si="85"/>
        <v>1680</v>
      </c>
      <c r="P370">
        <f t="shared" si="86"/>
        <v>3680</v>
      </c>
      <c r="Q370">
        <f t="shared" si="87"/>
        <v>0</v>
      </c>
      <c r="R370" s="4">
        <f t="shared" si="88"/>
        <v>0</v>
      </c>
      <c r="S370" s="3">
        <f t="shared" si="89"/>
        <v>0</v>
      </c>
      <c r="T370" t="str">
        <f t="shared" si="90"/>
        <v>0</v>
      </c>
      <c r="V370">
        <v>368</v>
      </c>
      <c r="W370">
        <f t="shared" si="81"/>
        <v>1580</v>
      </c>
      <c r="X370">
        <f t="shared" si="84"/>
        <v>3680</v>
      </c>
      <c r="Y370">
        <f t="shared" si="82"/>
        <v>60</v>
      </c>
      <c r="Z370" s="4">
        <f t="shared" si="93"/>
        <v>2666666.6666666665</v>
      </c>
      <c r="AA370" s="3">
        <f t="shared" si="93"/>
        <v>60</v>
      </c>
      <c r="AB370" t="str">
        <f t="shared" si="92"/>
        <v>28B0AA</v>
      </c>
    </row>
    <row r="371" spans="14:28">
      <c r="N371">
        <v>369</v>
      </c>
      <c r="O371">
        <f t="shared" si="85"/>
        <v>1690</v>
      </c>
      <c r="P371">
        <f t="shared" si="86"/>
        <v>3690</v>
      </c>
      <c r="Q371">
        <f t="shared" si="87"/>
        <v>0</v>
      </c>
      <c r="R371" s="4">
        <f t="shared" si="88"/>
        <v>0</v>
      </c>
      <c r="S371" s="3">
        <f t="shared" si="89"/>
        <v>0</v>
      </c>
      <c r="T371" t="str">
        <f t="shared" si="90"/>
        <v>0</v>
      </c>
      <c r="V371">
        <v>369</v>
      </c>
      <c r="W371">
        <f t="shared" si="81"/>
        <v>1590</v>
      </c>
      <c r="X371">
        <f t="shared" si="84"/>
        <v>3690</v>
      </c>
      <c r="Y371">
        <f t="shared" si="82"/>
        <v>60</v>
      </c>
      <c r="Z371" s="4">
        <f t="shared" si="93"/>
        <v>2666666.6666666665</v>
      </c>
      <c r="AA371" s="3">
        <f t="shared" si="93"/>
        <v>60</v>
      </c>
      <c r="AB371" t="str">
        <f t="shared" si="92"/>
        <v>28B0AA</v>
      </c>
    </row>
    <row r="372" spans="14:28">
      <c r="N372">
        <v>370</v>
      </c>
      <c r="O372">
        <f t="shared" si="85"/>
        <v>1700</v>
      </c>
      <c r="P372">
        <f t="shared" si="86"/>
        <v>3700</v>
      </c>
      <c r="Q372">
        <f t="shared" si="87"/>
        <v>0</v>
      </c>
      <c r="R372" s="4">
        <f t="shared" si="88"/>
        <v>0</v>
      </c>
      <c r="S372" s="3">
        <f t="shared" si="89"/>
        <v>0</v>
      </c>
      <c r="T372" t="str">
        <f t="shared" si="90"/>
        <v>0</v>
      </c>
      <c r="V372">
        <v>370</v>
      </c>
      <c r="W372">
        <f t="shared" si="81"/>
        <v>1600</v>
      </c>
      <c r="X372">
        <f t="shared" si="84"/>
        <v>3700</v>
      </c>
      <c r="Y372">
        <f t="shared" si="82"/>
        <v>60</v>
      </c>
      <c r="Z372" s="4">
        <f t="shared" si="93"/>
        <v>2666666.6666666665</v>
      </c>
      <c r="AA372" s="3">
        <f t="shared" si="93"/>
        <v>60</v>
      </c>
      <c r="AB372" t="str">
        <f t="shared" si="92"/>
        <v>28B0AA</v>
      </c>
    </row>
    <row r="373" spans="14:28">
      <c r="N373">
        <v>371</v>
      </c>
      <c r="O373">
        <f t="shared" si="85"/>
        <v>1710</v>
      </c>
      <c r="P373">
        <f t="shared" si="86"/>
        <v>3710</v>
      </c>
      <c r="Q373">
        <f t="shared" si="87"/>
        <v>0</v>
      </c>
      <c r="R373" s="4">
        <f t="shared" si="88"/>
        <v>0</v>
      </c>
      <c r="S373" s="3">
        <f t="shared" si="89"/>
        <v>0</v>
      </c>
      <c r="T373" t="str">
        <f t="shared" si="90"/>
        <v>0</v>
      </c>
      <c r="V373">
        <v>371</v>
      </c>
      <c r="W373">
        <f t="shared" si="81"/>
        <v>1610</v>
      </c>
      <c r="X373">
        <f t="shared" si="84"/>
        <v>3710</v>
      </c>
      <c r="Y373">
        <f t="shared" si="82"/>
        <v>60</v>
      </c>
      <c r="Z373" s="4">
        <f t="shared" si="93"/>
        <v>2666666.6666666665</v>
      </c>
      <c r="AA373" s="3">
        <f t="shared" si="93"/>
        <v>60</v>
      </c>
      <c r="AB373" t="str">
        <f t="shared" si="92"/>
        <v>28B0AA</v>
      </c>
    </row>
    <row r="374" spans="14:28">
      <c r="N374">
        <v>372</v>
      </c>
      <c r="O374">
        <f t="shared" si="85"/>
        <v>1720</v>
      </c>
      <c r="P374">
        <f t="shared" si="86"/>
        <v>3720</v>
      </c>
      <c r="Q374">
        <f t="shared" si="87"/>
        <v>0</v>
      </c>
      <c r="R374" s="4">
        <f t="shared" si="88"/>
        <v>0</v>
      </c>
      <c r="S374" s="3">
        <f t="shared" si="89"/>
        <v>0</v>
      </c>
      <c r="T374" t="str">
        <f t="shared" si="90"/>
        <v>0</v>
      </c>
      <c r="V374">
        <v>372</v>
      </c>
      <c r="W374">
        <f t="shared" si="81"/>
        <v>1620</v>
      </c>
      <c r="X374">
        <f t="shared" si="84"/>
        <v>3720</v>
      </c>
      <c r="Y374">
        <f t="shared" si="82"/>
        <v>60</v>
      </c>
      <c r="Z374" s="4">
        <f t="shared" si="93"/>
        <v>2666666.6666666665</v>
      </c>
      <c r="AA374" s="3">
        <f t="shared" si="93"/>
        <v>60</v>
      </c>
      <c r="AB374" t="str">
        <f t="shared" si="92"/>
        <v>28B0AA</v>
      </c>
    </row>
    <row r="375" spans="14:28">
      <c r="N375">
        <v>373</v>
      </c>
      <c r="O375">
        <f t="shared" si="85"/>
        <v>1730</v>
      </c>
      <c r="P375">
        <f t="shared" si="86"/>
        <v>3730</v>
      </c>
      <c r="Q375">
        <f t="shared" si="87"/>
        <v>0</v>
      </c>
      <c r="R375" s="4">
        <f t="shared" si="88"/>
        <v>0</v>
      </c>
      <c r="S375" s="3">
        <f t="shared" si="89"/>
        <v>0</v>
      </c>
      <c r="T375" t="str">
        <f t="shared" si="90"/>
        <v>0</v>
      </c>
      <c r="V375">
        <v>373</v>
      </c>
      <c r="W375">
        <f t="shared" si="81"/>
        <v>1630</v>
      </c>
      <c r="X375">
        <f t="shared" si="84"/>
        <v>3730</v>
      </c>
      <c r="Y375">
        <f t="shared" si="82"/>
        <v>60</v>
      </c>
      <c r="Z375" s="4">
        <f t="shared" si="93"/>
        <v>2666666.6666666665</v>
      </c>
      <c r="AA375" s="3">
        <f t="shared" si="93"/>
        <v>60</v>
      </c>
      <c r="AB375" t="str">
        <f t="shared" si="92"/>
        <v>28B0AA</v>
      </c>
    </row>
    <row r="376" spans="14:28">
      <c r="N376">
        <v>374</v>
      </c>
      <c r="O376">
        <f t="shared" si="85"/>
        <v>1740</v>
      </c>
      <c r="P376">
        <f t="shared" si="86"/>
        <v>3740</v>
      </c>
      <c r="Q376">
        <f t="shared" si="87"/>
        <v>0</v>
      </c>
      <c r="R376" s="4">
        <f t="shared" si="88"/>
        <v>0</v>
      </c>
      <c r="S376" s="3">
        <f t="shared" si="89"/>
        <v>0</v>
      </c>
      <c r="T376" t="str">
        <f t="shared" si="90"/>
        <v>0</v>
      </c>
      <c r="V376">
        <v>374</v>
      </c>
      <c r="W376">
        <f t="shared" si="81"/>
        <v>1640</v>
      </c>
      <c r="X376">
        <f t="shared" si="84"/>
        <v>3740</v>
      </c>
      <c r="Y376">
        <f t="shared" si="82"/>
        <v>60</v>
      </c>
      <c r="Z376" s="4">
        <f t="shared" si="93"/>
        <v>2666666.6666666665</v>
      </c>
      <c r="AA376" s="3">
        <f t="shared" si="93"/>
        <v>60</v>
      </c>
      <c r="AB376" t="str">
        <f t="shared" si="92"/>
        <v>28B0AA</v>
      </c>
    </row>
    <row r="377" spans="14:28">
      <c r="N377">
        <v>375</v>
      </c>
      <c r="O377">
        <f t="shared" si="85"/>
        <v>1750</v>
      </c>
      <c r="P377">
        <f t="shared" si="86"/>
        <v>3750</v>
      </c>
      <c r="Q377">
        <f t="shared" si="87"/>
        <v>0</v>
      </c>
      <c r="R377" s="4">
        <f t="shared" si="88"/>
        <v>0</v>
      </c>
      <c r="S377" s="3">
        <f t="shared" si="89"/>
        <v>0</v>
      </c>
      <c r="T377" t="str">
        <f t="shared" si="90"/>
        <v>0</v>
      </c>
      <c r="V377">
        <v>375</v>
      </c>
      <c r="W377">
        <f t="shared" si="81"/>
        <v>1650</v>
      </c>
      <c r="X377">
        <f t="shared" si="84"/>
        <v>3750</v>
      </c>
      <c r="Y377">
        <f t="shared" si="82"/>
        <v>60</v>
      </c>
      <c r="Z377" s="4">
        <f t="shared" si="93"/>
        <v>2666666.6666666665</v>
      </c>
      <c r="AA377" s="3">
        <f t="shared" si="93"/>
        <v>60</v>
      </c>
      <c r="AB377" t="str">
        <f t="shared" si="92"/>
        <v>28B0AA</v>
      </c>
    </row>
    <row r="378" spans="14:28">
      <c r="N378">
        <v>376</v>
      </c>
      <c r="O378">
        <f t="shared" si="85"/>
        <v>1760</v>
      </c>
      <c r="P378">
        <f t="shared" si="86"/>
        <v>3760</v>
      </c>
      <c r="Q378">
        <f t="shared" si="87"/>
        <v>0</v>
      </c>
      <c r="R378" s="4">
        <f t="shared" si="88"/>
        <v>0</v>
      </c>
      <c r="S378" s="3">
        <f t="shared" si="89"/>
        <v>0</v>
      </c>
      <c r="T378" t="str">
        <f t="shared" si="90"/>
        <v>0</v>
      </c>
      <c r="V378">
        <v>376</v>
      </c>
      <c r="W378">
        <f t="shared" si="81"/>
        <v>1660</v>
      </c>
      <c r="X378">
        <f t="shared" si="84"/>
        <v>3760</v>
      </c>
      <c r="Y378">
        <f t="shared" si="82"/>
        <v>60</v>
      </c>
      <c r="Z378" s="4">
        <f t="shared" si="93"/>
        <v>2666666.6666666665</v>
      </c>
      <c r="AA378" s="3">
        <f t="shared" si="93"/>
        <v>60</v>
      </c>
      <c r="AB378" t="str">
        <f t="shared" si="92"/>
        <v>28B0AA</v>
      </c>
    </row>
    <row r="379" spans="14:28">
      <c r="N379">
        <v>377</v>
      </c>
      <c r="O379">
        <f t="shared" si="85"/>
        <v>1770</v>
      </c>
      <c r="P379">
        <f t="shared" si="86"/>
        <v>3770</v>
      </c>
      <c r="Q379">
        <f t="shared" si="87"/>
        <v>0</v>
      </c>
      <c r="R379" s="4">
        <f t="shared" si="88"/>
        <v>0</v>
      </c>
      <c r="S379" s="3">
        <f t="shared" si="89"/>
        <v>0</v>
      </c>
      <c r="T379" t="str">
        <f t="shared" si="90"/>
        <v>0</v>
      </c>
      <c r="V379">
        <v>377</v>
      </c>
      <c r="W379">
        <f t="shared" si="81"/>
        <v>1670</v>
      </c>
      <c r="X379">
        <f t="shared" si="84"/>
        <v>3770</v>
      </c>
      <c r="Y379">
        <f t="shared" si="82"/>
        <v>60</v>
      </c>
      <c r="Z379" s="4">
        <f t="shared" ref="Z379:AA398" si="94">IFERROR(160*1000*1000/Y379,0)</f>
        <v>2666666.6666666665</v>
      </c>
      <c r="AA379" s="3">
        <f t="shared" si="94"/>
        <v>60</v>
      </c>
      <c r="AB379" t="str">
        <f t="shared" si="92"/>
        <v>28B0AA</v>
      </c>
    </row>
    <row r="380" spans="14:28">
      <c r="N380">
        <v>378</v>
      </c>
      <c r="O380">
        <f t="shared" si="85"/>
        <v>1780</v>
      </c>
      <c r="P380">
        <f t="shared" si="86"/>
        <v>3780</v>
      </c>
      <c r="Q380">
        <f t="shared" si="87"/>
        <v>0</v>
      </c>
      <c r="R380" s="4">
        <f t="shared" si="88"/>
        <v>0</v>
      </c>
      <c r="S380" s="3">
        <f t="shared" si="89"/>
        <v>0</v>
      </c>
      <c r="T380" t="str">
        <f t="shared" si="90"/>
        <v>0</v>
      </c>
      <c r="V380">
        <v>378</v>
      </c>
      <c r="W380">
        <f t="shared" si="81"/>
        <v>1680</v>
      </c>
      <c r="X380">
        <f t="shared" si="84"/>
        <v>3780</v>
      </c>
      <c r="Y380">
        <f t="shared" si="82"/>
        <v>60</v>
      </c>
      <c r="Z380" s="4">
        <f t="shared" si="94"/>
        <v>2666666.6666666665</v>
      </c>
      <c r="AA380" s="3">
        <f t="shared" si="94"/>
        <v>60</v>
      </c>
      <c r="AB380" t="str">
        <f t="shared" si="92"/>
        <v>28B0AA</v>
      </c>
    </row>
    <row r="381" spans="14:28">
      <c r="N381">
        <v>379</v>
      </c>
      <c r="O381">
        <f t="shared" si="85"/>
        <v>1790</v>
      </c>
      <c r="P381">
        <f t="shared" si="86"/>
        <v>3790</v>
      </c>
      <c r="Q381">
        <f t="shared" si="87"/>
        <v>0</v>
      </c>
      <c r="R381" s="4">
        <f t="shared" si="88"/>
        <v>0</v>
      </c>
      <c r="S381" s="3">
        <f t="shared" si="89"/>
        <v>0</v>
      </c>
      <c r="T381" t="str">
        <f t="shared" si="90"/>
        <v>0</v>
      </c>
      <c r="V381">
        <v>379</v>
      </c>
      <c r="W381">
        <f t="shared" si="81"/>
        <v>1690</v>
      </c>
      <c r="X381">
        <f t="shared" si="84"/>
        <v>3790</v>
      </c>
      <c r="Y381">
        <f t="shared" si="82"/>
        <v>60</v>
      </c>
      <c r="Z381" s="4">
        <f t="shared" si="94"/>
        <v>2666666.6666666665</v>
      </c>
      <c r="AA381" s="3">
        <f t="shared" si="94"/>
        <v>60</v>
      </c>
      <c r="AB381" t="str">
        <f t="shared" si="92"/>
        <v>28B0AA</v>
      </c>
    </row>
    <row r="382" spans="14:28">
      <c r="N382">
        <v>380</v>
      </c>
      <c r="O382">
        <f t="shared" si="85"/>
        <v>1800</v>
      </c>
      <c r="P382">
        <f t="shared" si="86"/>
        <v>3800</v>
      </c>
      <c r="Q382">
        <f t="shared" si="87"/>
        <v>0</v>
      </c>
      <c r="R382" s="4">
        <f t="shared" si="88"/>
        <v>0</v>
      </c>
      <c r="S382" s="3">
        <f t="shared" si="89"/>
        <v>0</v>
      </c>
      <c r="T382" t="str">
        <f t="shared" si="90"/>
        <v>0</v>
      </c>
      <c r="V382">
        <v>380</v>
      </c>
      <c r="W382">
        <f t="shared" si="81"/>
        <v>1700</v>
      </c>
      <c r="X382">
        <f t="shared" si="84"/>
        <v>3800</v>
      </c>
      <c r="Y382">
        <f t="shared" si="82"/>
        <v>60</v>
      </c>
      <c r="Z382" s="4">
        <f t="shared" si="94"/>
        <v>2666666.6666666665</v>
      </c>
      <c r="AA382" s="3">
        <f t="shared" si="94"/>
        <v>60</v>
      </c>
      <c r="AB382" t="str">
        <f t="shared" si="92"/>
        <v>28B0AA</v>
      </c>
    </row>
    <row r="383" spans="14:28">
      <c r="N383">
        <v>381</v>
      </c>
      <c r="O383">
        <f t="shared" si="85"/>
        <v>1810</v>
      </c>
      <c r="P383">
        <f t="shared" si="86"/>
        <v>3810</v>
      </c>
      <c r="Q383">
        <f t="shared" si="87"/>
        <v>0</v>
      </c>
      <c r="R383" s="4">
        <f t="shared" si="88"/>
        <v>0</v>
      </c>
      <c r="S383" s="3">
        <f t="shared" si="89"/>
        <v>0</v>
      </c>
      <c r="T383" t="str">
        <f t="shared" si="90"/>
        <v>0</v>
      </c>
      <c r="V383">
        <v>381</v>
      </c>
      <c r="W383">
        <f t="shared" ref="W383:W446" si="95">MOD(X383,$A$14+$A$15)</f>
        <v>1710</v>
      </c>
      <c r="X383">
        <f t="shared" si="84"/>
        <v>3810</v>
      </c>
      <c r="Y383">
        <f t="shared" ref="Y383:Y446" si="96">IF(W383&gt;$A$14,0,IF(W383&lt;$A$13,W383/($A$13)*($A$11-$A$12)+$A$12,IF($A$14-W383&lt;$A$13,($A$14-W383)/($A$13)*($A$11-$A$12)+$A$12,$A$11)))</f>
        <v>58.166666666666664</v>
      </c>
      <c r="Z383" s="4">
        <f t="shared" si="94"/>
        <v>2750716.3323782235</v>
      </c>
      <c r="AA383" s="3">
        <f t="shared" si="94"/>
        <v>58.166666666666664</v>
      </c>
      <c r="AB383" t="str">
        <f t="shared" si="92"/>
        <v>29F8FC</v>
      </c>
    </row>
    <row r="384" spans="14:28">
      <c r="N384">
        <v>382</v>
      </c>
      <c r="O384">
        <f t="shared" si="85"/>
        <v>1820</v>
      </c>
      <c r="P384">
        <f t="shared" si="86"/>
        <v>3820</v>
      </c>
      <c r="Q384">
        <f t="shared" si="87"/>
        <v>0</v>
      </c>
      <c r="R384" s="4">
        <f t="shared" si="88"/>
        <v>0</v>
      </c>
      <c r="S384" s="3">
        <f t="shared" si="89"/>
        <v>0</v>
      </c>
      <c r="T384" t="str">
        <f t="shared" si="90"/>
        <v>0</v>
      </c>
      <c r="V384">
        <v>382</v>
      </c>
      <c r="W384">
        <f t="shared" si="95"/>
        <v>1720</v>
      </c>
      <c r="X384">
        <f t="shared" ref="X384:X447" si="97">V384*10</f>
        <v>3820</v>
      </c>
      <c r="Y384">
        <f t="shared" si="96"/>
        <v>56.333333333333336</v>
      </c>
      <c r="Z384" s="4">
        <f t="shared" si="94"/>
        <v>2840236.6863905326</v>
      </c>
      <c r="AA384" s="3">
        <f t="shared" si="94"/>
        <v>56.333333333333329</v>
      </c>
      <c r="AB384" t="str">
        <f t="shared" si="92"/>
        <v>2B56AC</v>
      </c>
    </row>
    <row r="385" spans="14:28">
      <c r="N385">
        <v>383</v>
      </c>
      <c r="O385">
        <f t="shared" si="85"/>
        <v>1830</v>
      </c>
      <c r="P385">
        <f t="shared" si="86"/>
        <v>3830</v>
      </c>
      <c r="Q385">
        <f t="shared" si="87"/>
        <v>0</v>
      </c>
      <c r="R385" s="4">
        <f t="shared" si="88"/>
        <v>0</v>
      </c>
      <c r="S385" s="3">
        <f t="shared" si="89"/>
        <v>0</v>
      </c>
      <c r="T385" t="str">
        <f t="shared" si="90"/>
        <v>0</v>
      </c>
      <c r="V385">
        <v>383</v>
      </c>
      <c r="W385">
        <f t="shared" si="95"/>
        <v>1730</v>
      </c>
      <c r="X385">
        <f t="shared" si="97"/>
        <v>3830</v>
      </c>
      <c r="Y385">
        <f t="shared" si="96"/>
        <v>54.5</v>
      </c>
      <c r="Z385" s="4">
        <f t="shared" si="94"/>
        <v>2935779.8165137614</v>
      </c>
      <c r="AA385" s="3">
        <f t="shared" si="94"/>
        <v>54.5</v>
      </c>
      <c r="AB385" t="str">
        <f t="shared" si="92"/>
        <v>2CCBE3</v>
      </c>
    </row>
    <row r="386" spans="14:28">
      <c r="N386">
        <v>384</v>
      </c>
      <c r="O386">
        <f t="shared" si="85"/>
        <v>1840</v>
      </c>
      <c r="P386">
        <f t="shared" si="86"/>
        <v>3840</v>
      </c>
      <c r="Q386">
        <f t="shared" si="87"/>
        <v>0</v>
      </c>
      <c r="R386" s="4">
        <f t="shared" si="88"/>
        <v>0</v>
      </c>
      <c r="S386" s="3">
        <f t="shared" si="89"/>
        <v>0</v>
      </c>
      <c r="T386" t="str">
        <f t="shared" si="90"/>
        <v>0</v>
      </c>
      <c r="V386">
        <v>384</v>
      </c>
      <c r="W386">
        <f t="shared" si="95"/>
        <v>1740</v>
      </c>
      <c r="X386">
        <f t="shared" si="97"/>
        <v>3840</v>
      </c>
      <c r="Y386">
        <f t="shared" si="96"/>
        <v>52.666666666666671</v>
      </c>
      <c r="Z386" s="4">
        <f t="shared" si="94"/>
        <v>3037974.6835443038</v>
      </c>
      <c r="AA386" s="3">
        <f t="shared" si="94"/>
        <v>52.666666666666664</v>
      </c>
      <c r="AB386" t="str">
        <f t="shared" si="92"/>
        <v>2E5B16</v>
      </c>
    </row>
    <row r="387" spans="14:28">
      <c r="N387">
        <v>385</v>
      </c>
      <c r="O387">
        <f t="shared" ref="O387:O450" si="98">MOD(P387,$A$5+$A$6)</f>
        <v>1850</v>
      </c>
      <c r="P387">
        <f t="shared" si="86"/>
        <v>3850</v>
      </c>
      <c r="Q387">
        <f t="shared" si="87"/>
        <v>0</v>
      </c>
      <c r="R387" s="4">
        <f t="shared" si="88"/>
        <v>0</v>
      </c>
      <c r="S387" s="3">
        <f t="shared" si="89"/>
        <v>0</v>
      </c>
      <c r="T387" t="str">
        <f t="shared" si="90"/>
        <v>0</v>
      </c>
      <c r="V387">
        <v>385</v>
      </c>
      <c r="W387">
        <f t="shared" si="95"/>
        <v>1750</v>
      </c>
      <c r="X387">
        <f t="shared" si="97"/>
        <v>3850</v>
      </c>
      <c r="Y387">
        <f t="shared" si="96"/>
        <v>50.833333333333336</v>
      </c>
      <c r="Z387" s="4">
        <f t="shared" si="94"/>
        <v>3147540.9836065574</v>
      </c>
      <c r="AA387" s="3">
        <f t="shared" si="94"/>
        <v>50.833333333333336</v>
      </c>
      <c r="AB387" t="str">
        <f t="shared" si="92"/>
        <v>300714</v>
      </c>
    </row>
    <row r="388" spans="14:28">
      <c r="N388">
        <v>386</v>
      </c>
      <c r="O388">
        <f t="shared" si="98"/>
        <v>1860</v>
      </c>
      <c r="P388">
        <f t="shared" si="86"/>
        <v>3860</v>
      </c>
      <c r="Q388">
        <f t="shared" si="87"/>
        <v>0</v>
      </c>
      <c r="R388" s="4">
        <f t="shared" si="88"/>
        <v>0</v>
      </c>
      <c r="S388" s="3">
        <f t="shared" si="89"/>
        <v>0</v>
      </c>
      <c r="T388" t="str">
        <f t="shared" si="90"/>
        <v>0</v>
      </c>
      <c r="V388">
        <v>386</v>
      </c>
      <c r="W388">
        <f t="shared" si="95"/>
        <v>1760</v>
      </c>
      <c r="X388">
        <f t="shared" si="97"/>
        <v>3860</v>
      </c>
      <c r="Y388">
        <f t="shared" si="96"/>
        <v>49</v>
      </c>
      <c r="Z388" s="4">
        <f t="shared" si="94"/>
        <v>3265306.1224489794</v>
      </c>
      <c r="AA388" s="3">
        <f t="shared" si="94"/>
        <v>49</v>
      </c>
      <c r="AB388" t="str">
        <f t="shared" si="92"/>
        <v>31D31A</v>
      </c>
    </row>
    <row r="389" spans="14:28">
      <c r="N389">
        <v>387</v>
      </c>
      <c r="O389">
        <f t="shared" si="98"/>
        <v>1870</v>
      </c>
      <c r="P389">
        <f t="shared" si="86"/>
        <v>3870</v>
      </c>
      <c r="Q389">
        <f t="shared" si="87"/>
        <v>0</v>
      </c>
      <c r="R389" s="4">
        <f t="shared" si="88"/>
        <v>0</v>
      </c>
      <c r="S389" s="3">
        <f t="shared" si="89"/>
        <v>0</v>
      </c>
      <c r="T389" t="str">
        <f t="shared" si="90"/>
        <v>0</v>
      </c>
      <c r="V389">
        <v>387</v>
      </c>
      <c r="W389">
        <f t="shared" si="95"/>
        <v>1770</v>
      </c>
      <c r="X389">
        <f t="shared" si="97"/>
        <v>3870</v>
      </c>
      <c r="Y389">
        <f t="shared" si="96"/>
        <v>47.166666666666671</v>
      </c>
      <c r="Z389" s="4">
        <f t="shared" si="94"/>
        <v>3392226.1484098937</v>
      </c>
      <c r="AA389" s="3">
        <f t="shared" si="94"/>
        <v>47.166666666666671</v>
      </c>
      <c r="AB389" t="str">
        <f t="shared" si="92"/>
        <v>33C2E2</v>
      </c>
    </row>
    <row r="390" spans="14:28">
      <c r="N390">
        <v>388</v>
      </c>
      <c r="O390">
        <f t="shared" si="98"/>
        <v>1880</v>
      </c>
      <c r="P390">
        <f t="shared" si="86"/>
        <v>3880</v>
      </c>
      <c r="Q390">
        <f t="shared" si="87"/>
        <v>0</v>
      </c>
      <c r="R390" s="4">
        <f t="shared" si="88"/>
        <v>0</v>
      </c>
      <c r="S390" s="3">
        <f t="shared" si="89"/>
        <v>0</v>
      </c>
      <c r="T390" t="str">
        <f t="shared" si="90"/>
        <v>0</v>
      </c>
      <c r="V390">
        <v>388</v>
      </c>
      <c r="W390">
        <f t="shared" si="95"/>
        <v>1780</v>
      </c>
      <c r="X390">
        <f t="shared" si="97"/>
        <v>3880</v>
      </c>
      <c r="Y390">
        <f t="shared" si="96"/>
        <v>45.333333333333329</v>
      </c>
      <c r="Z390" s="4">
        <f t="shared" si="94"/>
        <v>3529411.7647058829</v>
      </c>
      <c r="AA390" s="3">
        <f t="shared" si="94"/>
        <v>45.333333333333329</v>
      </c>
      <c r="AB390" t="str">
        <f t="shared" si="92"/>
        <v>35DAC3</v>
      </c>
    </row>
    <row r="391" spans="14:28">
      <c r="N391">
        <v>389</v>
      </c>
      <c r="O391">
        <f t="shared" si="98"/>
        <v>1890</v>
      </c>
      <c r="P391">
        <f t="shared" si="86"/>
        <v>3890</v>
      </c>
      <c r="Q391">
        <f t="shared" si="87"/>
        <v>0</v>
      </c>
      <c r="R391" s="4">
        <f t="shared" si="88"/>
        <v>0</v>
      </c>
      <c r="S391" s="3">
        <f t="shared" si="89"/>
        <v>0</v>
      </c>
      <c r="T391" t="str">
        <f t="shared" si="90"/>
        <v>0</v>
      </c>
      <c r="V391">
        <v>389</v>
      </c>
      <c r="W391">
        <f t="shared" si="95"/>
        <v>1790</v>
      </c>
      <c r="X391">
        <f t="shared" si="97"/>
        <v>3890</v>
      </c>
      <c r="Y391">
        <f t="shared" si="96"/>
        <v>43.5</v>
      </c>
      <c r="Z391" s="4">
        <f t="shared" si="94"/>
        <v>3678160.9195402297</v>
      </c>
      <c r="AA391" s="3">
        <f t="shared" si="94"/>
        <v>43.5</v>
      </c>
      <c r="AB391" t="str">
        <f t="shared" si="92"/>
        <v>381FD0</v>
      </c>
    </row>
    <row r="392" spans="14:28">
      <c r="N392">
        <v>390</v>
      </c>
      <c r="O392">
        <f t="shared" si="98"/>
        <v>1900</v>
      </c>
      <c r="P392">
        <f t="shared" si="86"/>
        <v>3900</v>
      </c>
      <c r="Q392">
        <f t="shared" si="87"/>
        <v>0</v>
      </c>
      <c r="R392" s="4">
        <f t="shared" si="88"/>
        <v>0</v>
      </c>
      <c r="S392" s="3">
        <f t="shared" si="89"/>
        <v>0</v>
      </c>
      <c r="T392" t="str">
        <f t="shared" si="90"/>
        <v>0</v>
      </c>
      <c r="V392">
        <v>390</v>
      </c>
      <c r="W392">
        <f t="shared" si="95"/>
        <v>1800</v>
      </c>
      <c r="X392">
        <f t="shared" si="97"/>
        <v>3900</v>
      </c>
      <c r="Y392">
        <f t="shared" si="96"/>
        <v>41.666666666666664</v>
      </c>
      <c r="Z392" s="4">
        <f t="shared" si="94"/>
        <v>3840000</v>
      </c>
      <c r="AA392" s="3">
        <f t="shared" si="94"/>
        <v>41.666666666666664</v>
      </c>
      <c r="AB392" t="str">
        <f t="shared" si="92"/>
        <v>3A9800</v>
      </c>
    </row>
    <row r="393" spans="14:28">
      <c r="N393">
        <v>391</v>
      </c>
      <c r="O393">
        <f t="shared" si="98"/>
        <v>1910</v>
      </c>
      <c r="P393">
        <f t="shared" si="86"/>
        <v>3910</v>
      </c>
      <c r="Q393">
        <f t="shared" si="87"/>
        <v>0</v>
      </c>
      <c r="R393" s="4">
        <f t="shared" si="88"/>
        <v>0</v>
      </c>
      <c r="S393" s="3">
        <f t="shared" si="89"/>
        <v>0</v>
      </c>
      <c r="T393" t="str">
        <f t="shared" si="90"/>
        <v>0</v>
      </c>
      <c r="V393">
        <v>391</v>
      </c>
      <c r="W393">
        <f t="shared" si="95"/>
        <v>1810</v>
      </c>
      <c r="X393">
        <f t="shared" si="97"/>
        <v>3910</v>
      </c>
      <c r="Y393">
        <f t="shared" si="96"/>
        <v>39.833333333333329</v>
      </c>
      <c r="Z393" s="4">
        <f t="shared" si="94"/>
        <v>4016736.4016736406</v>
      </c>
      <c r="AA393" s="3">
        <f t="shared" si="94"/>
        <v>39.833333333333329</v>
      </c>
      <c r="AB393" t="str">
        <f t="shared" si="92"/>
        <v>3D4A60</v>
      </c>
    </row>
    <row r="394" spans="14:28">
      <c r="N394">
        <v>392</v>
      </c>
      <c r="O394">
        <f t="shared" si="98"/>
        <v>1920</v>
      </c>
      <c r="P394">
        <f t="shared" si="86"/>
        <v>3920</v>
      </c>
      <c r="Q394">
        <f t="shared" si="87"/>
        <v>0</v>
      </c>
      <c r="R394" s="4">
        <f t="shared" si="88"/>
        <v>0</v>
      </c>
      <c r="S394" s="3">
        <f t="shared" si="89"/>
        <v>0</v>
      </c>
      <c r="T394" t="str">
        <f t="shared" si="90"/>
        <v>0</v>
      </c>
      <c r="V394">
        <v>392</v>
      </c>
      <c r="W394">
        <f t="shared" si="95"/>
        <v>1820</v>
      </c>
      <c r="X394">
        <f t="shared" si="97"/>
        <v>3920</v>
      </c>
      <c r="Y394">
        <f t="shared" si="96"/>
        <v>38</v>
      </c>
      <c r="Z394" s="4">
        <f t="shared" si="94"/>
        <v>4210526.3157894732</v>
      </c>
      <c r="AA394" s="3">
        <f t="shared" si="94"/>
        <v>38.000000000000007</v>
      </c>
      <c r="AB394" t="str">
        <f t="shared" si="92"/>
        <v>403F5E</v>
      </c>
    </row>
    <row r="395" spans="14:28">
      <c r="N395">
        <v>393</v>
      </c>
      <c r="O395">
        <f t="shared" si="98"/>
        <v>1930</v>
      </c>
      <c r="P395">
        <f t="shared" ref="P395:P458" si="99">N395*10</f>
        <v>3930</v>
      </c>
      <c r="Q395">
        <f t="shared" ref="Q395:Q458" si="100">IF(O395&gt;$A$5,0,IF(O395&lt;$A$4,O395/($A$4)*($A$2-$A$3)+$A$3,IF($A$5-O395&lt;$A$4,($A$5-O395)/($A$4)*($A$2-$A$3)+$A$3,$A$2)))</f>
        <v>0</v>
      </c>
      <c r="R395" s="4">
        <f t="shared" ref="R395:R458" si="101">IFERROR(160*1000*1000/Q395,0)</f>
        <v>0</v>
      </c>
      <c r="S395" s="3">
        <f t="shared" ref="S395:S458" si="102">IFERROR(160*1000*1000/R395,0)</f>
        <v>0</v>
      </c>
      <c r="T395" t="str">
        <f t="shared" ref="T395:T458" si="103">DEC2HEX(R395)</f>
        <v>0</v>
      </c>
      <c r="V395">
        <v>393</v>
      </c>
      <c r="W395">
        <f t="shared" si="95"/>
        <v>1830</v>
      </c>
      <c r="X395">
        <f t="shared" si="97"/>
        <v>3930</v>
      </c>
      <c r="Y395">
        <f t="shared" si="96"/>
        <v>36.166666666666664</v>
      </c>
      <c r="Z395" s="4">
        <f t="shared" si="94"/>
        <v>4423963.1336405529</v>
      </c>
      <c r="AA395" s="3">
        <f t="shared" si="94"/>
        <v>36.166666666666664</v>
      </c>
      <c r="AB395" t="str">
        <f t="shared" si="92"/>
        <v>43811B</v>
      </c>
    </row>
    <row r="396" spans="14:28">
      <c r="N396">
        <v>394</v>
      </c>
      <c r="O396">
        <f t="shared" si="98"/>
        <v>1940</v>
      </c>
      <c r="P396">
        <f t="shared" si="99"/>
        <v>3940</v>
      </c>
      <c r="Q396">
        <f t="shared" si="100"/>
        <v>0</v>
      </c>
      <c r="R396" s="4">
        <f t="shared" si="101"/>
        <v>0</v>
      </c>
      <c r="S396" s="3">
        <f t="shared" si="102"/>
        <v>0</v>
      </c>
      <c r="T396" t="str">
        <f t="shared" si="103"/>
        <v>0</v>
      </c>
      <c r="V396">
        <v>394</v>
      </c>
      <c r="W396">
        <f t="shared" si="95"/>
        <v>1840</v>
      </c>
      <c r="X396">
        <f t="shared" si="97"/>
        <v>3940</v>
      </c>
      <c r="Y396">
        <f t="shared" si="96"/>
        <v>34.333333333333329</v>
      </c>
      <c r="Z396" s="4">
        <f t="shared" si="94"/>
        <v>4660194.1747572822</v>
      </c>
      <c r="AA396" s="3">
        <f t="shared" si="94"/>
        <v>34.333333333333329</v>
      </c>
      <c r="AB396" t="str">
        <f t="shared" si="92"/>
        <v>471BE2</v>
      </c>
    </row>
    <row r="397" spans="14:28">
      <c r="N397">
        <v>395</v>
      </c>
      <c r="O397">
        <f t="shared" si="98"/>
        <v>1950</v>
      </c>
      <c r="P397">
        <f t="shared" si="99"/>
        <v>3950</v>
      </c>
      <c r="Q397">
        <f t="shared" si="100"/>
        <v>0</v>
      </c>
      <c r="R397" s="4">
        <f t="shared" si="101"/>
        <v>0</v>
      </c>
      <c r="S397" s="3">
        <f t="shared" si="102"/>
        <v>0</v>
      </c>
      <c r="T397" t="str">
        <f t="shared" si="103"/>
        <v>0</v>
      </c>
      <c r="V397">
        <v>395</v>
      </c>
      <c r="W397">
        <f t="shared" si="95"/>
        <v>1850</v>
      </c>
      <c r="X397">
        <f t="shared" si="97"/>
        <v>3950</v>
      </c>
      <c r="Y397">
        <f t="shared" si="96"/>
        <v>32.5</v>
      </c>
      <c r="Z397" s="4">
        <f t="shared" si="94"/>
        <v>4923076.923076923</v>
      </c>
      <c r="AA397" s="3">
        <f t="shared" si="94"/>
        <v>32.5</v>
      </c>
      <c r="AB397" t="str">
        <f t="shared" si="92"/>
        <v>4B1EC4</v>
      </c>
    </row>
    <row r="398" spans="14:28">
      <c r="N398">
        <v>396</v>
      </c>
      <c r="O398">
        <f t="shared" si="98"/>
        <v>1960</v>
      </c>
      <c r="P398">
        <f t="shared" si="99"/>
        <v>3960</v>
      </c>
      <c r="Q398">
        <f t="shared" si="100"/>
        <v>0</v>
      </c>
      <c r="R398" s="4">
        <f t="shared" si="101"/>
        <v>0</v>
      </c>
      <c r="S398" s="3">
        <f t="shared" si="102"/>
        <v>0</v>
      </c>
      <c r="T398" t="str">
        <f t="shared" si="103"/>
        <v>0</v>
      </c>
      <c r="V398">
        <v>396</v>
      </c>
      <c r="W398">
        <f t="shared" si="95"/>
        <v>1860</v>
      </c>
      <c r="X398">
        <f t="shared" si="97"/>
        <v>3960</v>
      </c>
      <c r="Y398">
        <f t="shared" si="96"/>
        <v>30.666666666666668</v>
      </c>
      <c r="Z398" s="4">
        <f t="shared" si="94"/>
        <v>5217391.3043478262</v>
      </c>
      <c r="AA398" s="3">
        <f t="shared" si="94"/>
        <v>30.666666666666668</v>
      </c>
      <c r="AB398" t="str">
        <f t="shared" si="92"/>
        <v>4F9C6F</v>
      </c>
    </row>
    <row r="399" spans="14:28">
      <c r="N399">
        <v>397</v>
      </c>
      <c r="O399">
        <f t="shared" si="98"/>
        <v>1970</v>
      </c>
      <c r="P399">
        <f t="shared" si="99"/>
        <v>3970</v>
      </c>
      <c r="Q399">
        <f t="shared" si="100"/>
        <v>0</v>
      </c>
      <c r="R399" s="4">
        <f t="shared" si="101"/>
        <v>0</v>
      </c>
      <c r="S399" s="3">
        <f t="shared" si="102"/>
        <v>0</v>
      </c>
      <c r="T399" t="str">
        <f t="shared" si="103"/>
        <v>0</v>
      </c>
      <c r="V399">
        <v>397</v>
      </c>
      <c r="W399">
        <f t="shared" si="95"/>
        <v>1870</v>
      </c>
      <c r="X399">
        <f t="shared" si="97"/>
        <v>3970</v>
      </c>
      <c r="Y399">
        <f t="shared" si="96"/>
        <v>28.833333333333336</v>
      </c>
      <c r="Z399" s="4">
        <f t="shared" ref="Z399:AA418" si="104">IFERROR(160*1000*1000/Y399,0)</f>
        <v>5549132.9479768779</v>
      </c>
      <c r="AA399" s="3">
        <f t="shared" si="104"/>
        <v>28.833333333333336</v>
      </c>
      <c r="AB399" t="str">
        <f t="shared" si="92"/>
        <v>54AC4C</v>
      </c>
    </row>
    <row r="400" spans="14:28">
      <c r="N400">
        <v>398</v>
      </c>
      <c r="O400">
        <f t="shared" si="98"/>
        <v>1980</v>
      </c>
      <c r="P400">
        <f t="shared" si="99"/>
        <v>3980</v>
      </c>
      <c r="Q400">
        <f t="shared" si="100"/>
        <v>0</v>
      </c>
      <c r="R400" s="4">
        <f t="shared" si="101"/>
        <v>0</v>
      </c>
      <c r="S400" s="3">
        <f t="shared" si="102"/>
        <v>0</v>
      </c>
      <c r="T400" t="str">
        <f t="shared" si="103"/>
        <v>0</v>
      </c>
      <c r="V400">
        <v>398</v>
      </c>
      <c r="W400">
        <f t="shared" si="95"/>
        <v>1880</v>
      </c>
      <c r="X400">
        <f t="shared" si="97"/>
        <v>3980</v>
      </c>
      <c r="Y400">
        <f t="shared" si="96"/>
        <v>27</v>
      </c>
      <c r="Z400" s="4">
        <f t="shared" si="104"/>
        <v>5925925.9259259263</v>
      </c>
      <c r="AA400" s="3">
        <f t="shared" si="104"/>
        <v>27</v>
      </c>
      <c r="AB400" t="str">
        <f t="shared" si="92"/>
        <v>5A6C25</v>
      </c>
    </row>
    <row r="401" spans="14:28">
      <c r="N401">
        <v>399</v>
      </c>
      <c r="O401">
        <f t="shared" si="98"/>
        <v>1990</v>
      </c>
      <c r="P401">
        <f t="shared" si="99"/>
        <v>3990</v>
      </c>
      <c r="Q401">
        <f t="shared" si="100"/>
        <v>0</v>
      </c>
      <c r="R401" s="4">
        <f t="shared" si="101"/>
        <v>0</v>
      </c>
      <c r="S401" s="3">
        <f t="shared" si="102"/>
        <v>0</v>
      </c>
      <c r="T401" t="str">
        <f t="shared" si="103"/>
        <v>0</v>
      </c>
      <c r="V401">
        <v>399</v>
      </c>
      <c r="W401">
        <f t="shared" si="95"/>
        <v>1890</v>
      </c>
      <c r="X401">
        <f t="shared" si="97"/>
        <v>3990</v>
      </c>
      <c r="Y401">
        <f t="shared" si="96"/>
        <v>25.166666666666664</v>
      </c>
      <c r="Z401" s="4">
        <f t="shared" si="104"/>
        <v>6357615.8940397361</v>
      </c>
      <c r="AA401" s="3">
        <f t="shared" si="104"/>
        <v>25.166666666666664</v>
      </c>
      <c r="AB401" t="str">
        <f t="shared" si="92"/>
        <v>61026F</v>
      </c>
    </row>
    <row r="402" spans="14:28">
      <c r="N402">
        <v>400</v>
      </c>
      <c r="O402">
        <f t="shared" si="98"/>
        <v>0</v>
      </c>
      <c r="P402">
        <f t="shared" si="99"/>
        <v>4000</v>
      </c>
      <c r="Q402">
        <f t="shared" si="100"/>
        <v>5</v>
      </c>
      <c r="R402" s="4">
        <f t="shared" si="101"/>
        <v>32000000</v>
      </c>
      <c r="S402" s="3">
        <f t="shared" si="102"/>
        <v>5</v>
      </c>
      <c r="T402" t="str">
        <f t="shared" si="103"/>
        <v>1E84800</v>
      </c>
      <c r="V402">
        <v>400</v>
      </c>
      <c r="W402">
        <f t="shared" si="95"/>
        <v>1900</v>
      </c>
      <c r="X402">
        <f t="shared" si="97"/>
        <v>4000</v>
      </c>
      <c r="Y402">
        <f t="shared" si="96"/>
        <v>23.333333333333332</v>
      </c>
      <c r="Z402" s="4">
        <f t="shared" si="104"/>
        <v>6857142.8571428573</v>
      </c>
      <c r="AA402" s="3">
        <f t="shared" si="104"/>
        <v>23.333333333333332</v>
      </c>
      <c r="AB402" t="str">
        <f t="shared" si="92"/>
        <v>68A1B6</v>
      </c>
    </row>
    <row r="403" spans="14:28">
      <c r="N403">
        <v>401</v>
      </c>
      <c r="O403">
        <f t="shared" si="98"/>
        <v>10</v>
      </c>
      <c r="P403">
        <f t="shared" si="99"/>
        <v>4010</v>
      </c>
      <c r="Q403">
        <f t="shared" si="100"/>
        <v>12.8</v>
      </c>
      <c r="R403" s="4">
        <f t="shared" si="101"/>
        <v>12500000</v>
      </c>
      <c r="S403" s="3">
        <f t="shared" si="102"/>
        <v>12.8</v>
      </c>
      <c r="T403" t="str">
        <f t="shared" si="103"/>
        <v>BEBC20</v>
      </c>
      <c r="V403">
        <v>401</v>
      </c>
      <c r="W403">
        <f t="shared" si="95"/>
        <v>1910</v>
      </c>
      <c r="X403">
        <f t="shared" si="97"/>
        <v>4010</v>
      </c>
      <c r="Y403">
        <f t="shared" si="96"/>
        <v>21.5</v>
      </c>
      <c r="Z403" s="4">
        <f t="shared" si="104"/>
        <v>7441860.4651162792</v>
      </c>
      <c r="AA403" s="3">
        <f t="shared" si="104"/>
        <v>21.5</v>
      </c>
      <c r="AB403" t="str">
        <f t="shared" si="92"/>
        <v>718DC4</v>
      </c>
    </row>
    <row r="404" spans="14:28">
      <c r="N404">
        <v>402</v>
      </c>
      <c r="O404">
        <f t="shared" si="98"/>
        <v>20</v>
      </c>
      <c r="P404">
        <f t="shared" si="99"/>
        <v>4020</v>
      </c>
      <c r="Q404">
        <f t="shared" si="100"/>
        <v>20.6</v>
      </c>
      <c r="R404" s="4">
        <f t="shared" si="101"/>
        <v>7766990.2912621358</v>
      </c>
      <c r="S404" s="3">
        <f t="shared" si="102"/>
        <v>20.6</v>
      </c>
      <c r="T404" t="str">
        <f t="shared" si="103"/>
        <v>7683CE</v>
      </c>
      <c r="V404">
        <v>402</v>
      </c>
      <c r="W404">
        <f t="shared" si="95"/>
        <v>1920</v>
      </c>
      <c r="X404">
        <f t="shared" si="97"/>
        <v>4020</v>
      </c>
      <c r="Y404">
        <f t="shared" si="96"/>
        <v>19.666666666666664</v>
      </c>
      <c r="Z404" s="4">
        <f t="shared" si="104"/>
        <v>8135593.2203389844</v>
      </c>
      <c r="AA404" s="3">
        <f t="shared" si="104"/>
        <v>19.666666666666664</v>
      </c>
      <c r="AB404" t="str">
        <f t="shared" si="92"/>
        <v>7C23A9</v>
      </c>
    </row>
    <row r="405" spans="14:28">
      <c r="N405">
        <v>403</v>
      </c>
      <c r="O405">
        <f t="shared" si="98"/>
        <v>30</v>
      </c>
      <c r="P405">
        <f t="shared" si="99"/>
        <v>4030</v>
      </c>
      <c r="Q405">
        <f t="shared" si="100"/>
        <v>28.4</v>
      </c>
      <c r="R405" s="4">
        <f t="shared" si="101"/>
        <v>5633802.8169014091</v>
      </c>
      <c r="S405" s="3">
        <f t="shared" si="102"/>
        <v>28.4</v>
      </c>
      <c r="T405" t="str">
        <f t="shared" si="103"/>
        <v>55F70A</v>
      </c>
      <c r="V405">
        <v>403</v>
      </c>
      <c r="W405">
        <f t="shared" si="95"/>
        <v>1930</v>
      </c>
      <c r="X405">
        <f t="shared" si="97"/>
        <v>4030</v>
      </c>
      <c r="Y405">
        <f t="shared" si="96"/>
        <v>17.833333333333336</v>
      </c>
      <c r="Z405" s="4">
        <f t="shared" si="104"/>
        <v>8971962.616822429</v>
      </c>
      <c r="AA405" s="3">
        <f t="shared" si="104"/>
        <v>17.833333333333336</v>
      </c>
      <c r="AB405" t="str">
        <f t="shared" si="92"/>
        <v>88E6BA</v>
      </c>
    </row>
    <row r="406" spans="14:28">
      <c r="N406">
        <v>404</v>
      </c>
      <c r="O406">
        <f t="shared" si="98"/>
        <v>40</v>
      </c>
      <c r="P406">
        <f t="shared" si="99"/>
        <v>4040</v>
      </c>
      <c r="Q406">
        <f t="shared" si="100"/>
        <v>36.200000000000003</v>
      </c>
      <c r="R406" s="4">
        <f t="shared" si="101"/>
        <v>4419889.5027624303</v>
      </c>
      <c r="S406" s="3">
        <f t="shared" si="102"/>
        <v>36.200000000000003</v>
      </c>
      <c r="T406" t="str">
        <f t="shared" si="103"/>
        <v>437131</v>
      </c>
      <c r="V406">
        <v>404</v>
      </c>
      <c r="W406">
        <f t="shared" si="95"/>
        <v>1940</v>
      </c>
      <c r="X406">
        <f t="shared" si="97"/>
        <v>4040</v>
      </c>
      <c r="Y406">
        <f t="shared" si="96"/>
        <v>16</v>
      </c>
      <c r="Z406" s="4">
        <f t="shared" si="104"/>
        <v>10000000</v>
      </c>
      <c r="AA406" s="3">
        <f t="shared" si="104"/>
        <v>16</v>
      </c>
      <c r="AB406" t="str">
        <f t="shared" si="92"/>
        <v>989680</v>
      </c>
    </row>
    <row r="407" spans="14:28">
      <c r="N407">
        <v>405</v>
      </c>
      <c r="O407">
        <f t="shared" si="98"/>
        <v>50</v>
      </c>
      <c r="P407">
        <f t="shared" si="99"/>
        <v>4050</v>
      </c>
      <c r="Q407">
        <f t="shared" si="100"/>
        <v>44</v>
      </c>
      <c r="R407" s="4">
        <f t="shared" si="101"/>
        <v>3636363.6363636362</v>
      </c>
      <c r="S407" s="3">
        <f t="shared" si="102"/>
        <v>44</v>
      </c>
      <c r="T407" t="str">
        <f t="shared" si="103"/>
        <v>377C8B</v>
      </c>
      <c r="V407">
        <v>405</v>
      </c>
      <c r="W407">
        <f t="shared" si="95"/>
        <v>1950</v>
      </c>
      <c r="X407">
        <f t="shared" si="97"/>
        <v>4050</v>
      </c>
      <c r="Y407">
        <f t="shared" si="96"/>
        <v>14.166666666666666</v>
      </c>
      <c r="Z407" s="4">
        <f t="shared" si="104"/>
        <v>11294117.647058824</v>
      </c>
      <c r="AA407" s="3">
        <f t="shared" si="104"/>
        <v>14.166666666666666</v>
      </c>
      <c r="AB407" t="str">
        <f t="shared" si="92"/>
        <v>AC55A5</v>
      </c>
    </row>
    <row r="408" spans="14:28">
      <c r="N408">
        <v>406</v>
      </c>
      <c r="O408">
        <f t="shared" si="98"/>
        <v>60</v>
      </c>
      <c r="P408">
        <f t="shared" si="99"/>
        <v>4060</v>
      </c>
      <c r="Q408">
        <f t="shared" si="100"/>
        <v>51.8</v>
      </c>
      <c r="R408" s="4">
        <f t="shared" si="101"/>
        <v>3088803.0888030888</v>
      </c>
      <c r="S408" s="3">
        <f t="shared" si="102"/>
        <v>51.800000000000004</v>
      </c>
      <c r="T408" t="str">
        <f t="shared" si="103"/>
        <v>2F21A3</v>
      </c>
      <c r="V408">
        <v>406</v>
      </c>
      <c r="W408">
        <f t="shared" si="95"/>
        <v>1960</v>
      </c>
      <c r="X408">
        <f t="shared" si="97"/>
        <v>4060</v>
      </c>
      <c r="Y408">
        <f t="shared" si="96"/>
        <v>12.333333333333332</v>
      </c>
      <c r="Z408" s="4">
        <f t="shared" si="104"/>
        <v>12972972.972972974</v>
      </c>
      <c r="AA408" s="3">
        <f t="shared" si="104"/>
        <v>12.333333333333332</v>
      </c>
      <c r="AB408" t="str">
        <f t="shared" si="92"/>
        <v>C5F3AC</v>
      </c>
    </row>
    <row r="409" spans="14:28">
      <c r="N409">
        <v>407</v>
      </c>
      <c r="O409">
        <f t="shared" si="98"/>
        <v>70</v>
      </c>
      <c r="P409">
        <f t="shared" si="99"/>
        <v>4070</v>
      </c>
      <c r="Q409">
        <f t="shared" si="100"/>
        <v>59.600000000000009</v>
      </c>
      <c r="R409" s="4">
        <f t="shared" si="101"/>
        <v>2684563.7583892616</v>
      </c>
      <c r="S409" s="3">
        <f t="shared" si="102"/>
        <v>59.6</v>
      </c>
      <c r="T409" t="str">
        <f t="shared" si="103"/>
        <v>28F693</v>
      </c>
      <c r="V409">
        <v>407</v>
      </c>
      <c r="W409">
        <f t="shared" si="95"/>
        <v>1970</v>
      </c>
      <c r="X409">
        <f t="shared" si="97"/>
        <v>4070</v>
      </c>
      <c r="Y409">
        <f t="shared" si="96"/>
        <v>10.5</v>
      </c>
      <c r="Z409" s="4">
        <f t="shared" si="104"/>
        <v>15238095.238095239</v>
      </c>
      <c r="AA409" s="3">
        <f t="shared" si="104"/>
        <v>10.5</v>
      </c>
      <c r="AB409" t="str">
        <f t="shared" si="92"/>
        <v>E883CF</v>
      </c>
    </row>
    <row r="410" spans="14:28">
      <c r="N410">
        <v>408</v>
      </c>
      <c r="O410">
        <f t="shared" si="98"/>
        <v>80</v>
      </c>
      <c r="P410">
        <f t="shared" si="99"/>
        <v>4080</v>
      </c>
      <c r="Q410">
        <f t="shared" si="100"/>
        <v>67.400000000000006</v>
      </c>
      <c r="R410" s="4">
        <f t="shared" si="101"/>
        <v>2373887.240356083</v>
      </c>
      <c r="S410" s="3">
        <f t="shared" si="102"/>
        <v>67.400000000000006</v>
      </c>
      <c r="T410" t="str">
        <f t="shared" si="103"/>
        <v>2438FF</v>
      </c>
      <c r="V410">
        <v>408</v>
      </c>
      <c r="W410">
        <f t="shared" si="95"/>
        <v>1980</v>
      </c>
      <c r="X410">
        <f t="shared" si="97"/>
        <v>4080</v>
      </c>
      <c r="Y410">
        <f t="shared" si="96"/>
        <v>8.6666666666666661</v>
      </c>
      <c r="Z410" s="4">
        <f t="shared" si="104"/>
        <v>18461538.461538464</v>
      </c>
      <c r="AA410" s="3">
        <f t="shared" si="104"/>
        <v>8.6666666666666661</v>
      </c>
      <c r="AB410" t="str">
        <f t="shared" si="92"/>
        <v>119B362</v>
      </c>
    </row>
    <row r="411" spans="14:28">
      <c r="N411">
        <v>409</v>
      </c>
      <c r="O411">
        <f t="shared" si="98"/>
        <v>90</v>
      </c>
      <c r="P411">
        <f t="shared" si="99"/>
        <v>4090</v>
      </c>
      <c r="Q411">
        <f t="shared" si="100"/>
        <v>75.2</v>
      </c>
      <c r="R411" s="4">
        <f t="shared" si="101"/>
        <v>2127659.5744680851</v>
      </c>
      <c r="S411" s="3">
        <f t="shared" si="102"/>
        <v>75.2</v>
      </c>
      <c r="T411" t="str">
        <f t="shared" si="103"/>
        <v>20772B</v>
      </c>
      <c r="V411">
        <v>409</v>
      </c>
      <c r="W411">
        <f t="shared" si="95"/>
        <v>1990</v>
      </c>
      <c r="X411">
        <f t="shared" si="97"/>
        <v>4090</v>
      </c>
      <c r="Y411">
        <f t="shared" si="96"/>
        <v>6.833333333333333</v>
      </c>
      <c r="Z411" s="4">
        <f t="shared" si="104"/>
        <v>23414634.146341465</v>
      </c>
      <c r="AA411" s="3">
        <f t="shared" si="104"/>
        <v>6.833333333333333</v>
      </c>
      <c r="AB411" t="str">
        <f t="shared" si="92"/>
        <v>165476A</v>
      </c>
    </row>
    <row r="412" spans="14:28">
      <c r="N412">
        <v>410</v>
      </c>
      <c r="O412">
        <f t="shared" si="98"/>
        <v>100</v>
      </c>
      <c r="P412">
        <f t="shared" si="99"/>
        <v>4100</v>
      </c>
      <c r="Q412">
        <f t="shared" si="100"/>
        <v>83</v>
      </c>
      <c r="R412" s="4">
        <f t="shared" si="101"/>
        <v>1927710.843373494</v>
      </c>
      <c r="S412" s="3">
        <f t="shared" si="102"/>
        <v>83</v>
      </c>
      <c r="T412" t="str">
        <f t="shared" si="103"/>
        <v>1D6A1E</v>
      </c>
      <c r="V412">
        <v>410</v>
      </c>
      <c r="W412">
        <f t="shared" si="95"/>
        <v>2000</v>
      </c>
      <c r="X412">
        <f t="shared" si="97"/>
        <v>4100</v>
      </c>
      <c r="Y412">
        <f t="shared" si="96"/>
        <v>5</v>
      </c>
      <c r="Z412" s="4">
        <f t="shared" si="104"/>
        <v>32000000</v>
      </c>
      <c r="AA412" s="3">
        <f t="shared" si="104"/>
        <v>5</v>
      </c>
      <c r="AB412" t="str">
        <f t="shared" si="92"/>
        <v>1E84800</v>
      </c>
    </row>
    <row r="413" spans="14:28">
      <c r="N413">
        <v>411</v>
      </c>
      <c r="O413">
        <f t="shared" si="98"/>
        <v>110</v>
      </c>
      <c r="P413">
        <f t="shared" si="99"/>
        <v>4110</v>
      </c>
      <c r="Q413">
        <f t="shared" si="100"/>
        <v>90.8</v>
      </c>
      <c r="R413" s="4">
        <f t="shared" si="101"/>
        <v>1762114.537444934</v>
      </c>
      <c r="S413" s="3">
        <f t="shared" si="102"/>
        <v>90.8</v>
      </c>
      <c r="T413" t="str">
        <f t="shared" si="103"/>
        <v>1AE342</v>
      </c>
      <c r="V413">
        <v>411</v>
      </c>
      <c r="W413">
        <f t="shared" si="95"/>
        <v>2010</v>
      </c>
      <c r="X413">
        <f t="shared" si="97"/>
        <v>4110</v>
      </c>
      <c r="Y413">
        <f t="shared" si="96"/>
        <v>0</v>
      </c>
      <c r="Z413" s="4">
        <f t="shared" si="104"/>
        <v>0</v>
      </c>
      <c r="AA413" s="3">
        <f t="shared" si="104"/>
        <v>0</v>
      </c>
      <c r="AB413" t="str">
        <f t="shared" si="92"/>
        <v>0</v>
      </c>
    </row>
    <row r="414" spans="14:28">
      <c r="N414">
        <v>412</v>
      </c>
      <c r="O414">
        <f t="shared" si="98"/>
        <v>120</v>
      </c>
      <c r="P414">
        <f t="shared" si="99"/>
        <v>4120</v>
      </c>
      <c r="Q414">
        <f t="shared" si="100"/>
        <v>98.6</v>
      </c>
      <c r="R414" s="4">
        <f t="shared" si="101"/>
        <v>1622718.0527383368</v>
      </c>
      <c r="S414" s="3">
        <f t="shared" si="102"/>
        <v>98.6</v>
      </c>
      <c r="T414" t="str">
        <f t="shared" si="103"/>
        <v>18C2BE</v>
      </c>
      <c r="V414">
        <v>412</v>
      </c>
      <c r="W414">
        <f t="shared" si="95"/>
        <v>2020</v>
      </c>
      <c r="X414">
        <f t="shared" si="97"/>
        <v>4120</v>
      </c>
      <c r="Y414">
        <f t="shared" si="96"/>
        <v>0</v>
      </c>
      <c r="Z414" s="4">
        <f t="shared" si="104"/>
        <v>0</v>
      </c>
      <c r="AA414" s="3">
        <f t="shared" si="104"/>
        <v>0</v>
      </c>
      <c r="AB414" t="str">
        <f t="shared" si="92"/>
        <v>0</v>
      </c>
    </row>
    <row r="415" spans="14:28">
      <c r="N415">
        <v>413</v>
      </c>
      <c r="O415">
        <f t="shared" si="98"/>
        <v>130</v>
      </c>
      <c r="P415">
        <f t="shared" si="99"/>
        <v>4130</v>
      </c>
      <c r="Q415">
        <f t="shared" si="100"/>
        <v>106.4</v>
      </c>
      <c r="R415" s="4">
        <f t="shared" si="101"/>
        <v>1503759.3984962406</v>
      </c>
      <c r="S415" s="3">
        <f t="shared" si="102"/>
        <v>106.4</v>
      </c>
      <c r="T415" t="str">
        <f t="shared" si="103"/>
        <v>16F20F</v>
      </c>
      <c r="V415">
        <v>413</v>
      </c>
      <c r="W415">
        <f t="shared" si="95"/>
        <v>2030</v>
      </c>
      <c r="X415">
        <f t="shared" si="97"/>
        <v>4130</v>
      </c>
      <c r="Y415">
        <f t="shared" si="96"/>
        <v>0</v>
      </c>
      <c r="Z415" s="4">
        <f t="shared" si="104"/>
        <v>0</v>
      </c>
      <c r="AA415" s="3">
        <f t="shared" si="104"/>
        <v>0</v>
      </c>
      <c r="AB415" t="str">
        <f t="shared" si="92"/>
        <v>0</v>
      </c>
    </row>
    <row r="416" spans="14:28">
      <c r="N416">
        <v>414</v>
      </c>
      <c r="O416">
        <f t="shared" si="98"/>
        <v>140</v>
      </c>
      <c r="P416">
        <f t="shared" si="99"/>
        <v>4140</v>
      </c>
      <c r="Q416">
        <f t="shared" si="100"/>
        <v>114.20000000000002</v>
      </c>
      <c r="R416" s="4">
        <f t="shared" si="101"/>
        <v>1401050.7880910682</v>
      </c>
      <c r="S416" s="3">
        <f t="shared" si="102"/>
        <v>114.20000000000002</v>
      </c>
      <c r="T416" t="str">
        <f t="shared" si="103"/>
        <v>1560DA</v>
      </c>
      <c r="V416">
        <v>414</v>
      </c>
      <c r="W416">
        <f t="shared" si="95"/>
        <v>2040</v>
      </c>
      <c r="X416">
        <f t="shared" si="97"/>
        <v>4140</v>
      </c>
      <c r="Y416">
        <f t="shared" si="96"/>
        <v>0</v>
      </c>
      <c r="Z416" s="4">
        <f t="shared" si="104"/>
        <v>0</v>
      </c>
      <c r="AA416" s="3">
        <f t="shared" si="104"/>
        <v>0</v>
      </c>
      <c r="AB416" t="str">
        <f t="shared" si="92"/>
        <v>0</v>
      </c>
    </row>
    <row r="417" spans="14:28">
      <c r="N417">
        <v>415</v>
      </c>
      <c r="O417">
        <f t="shared" si="98"/>
        <v>150</v>
      </c>
      <c r="P417">
        <f t="shared" si="99"/>
        <v>4150</v>
      </c>
      <c r="Q417">
        <f t="shared" si="100"/>
        <v>122</v>
      </c>
      <c r="R417" s="4">
        <f t="shared" si="101"/>
        <v>1311475.4098360655</v>
      </c>
      <c r="S417" s="3">
        <f t="shared" si="102"/>
        <v>122.00000000000001</v>
      </c>
      <c r="T417" t="str">
        <f t="shared" si="103"/>
        <v>1402F3</v>
      </c>
      <c r="V417">
        <v>415</v>
      </c>
      <c r="W417">
        <f t="shared" si="95"/>
        <v>2050</v>
      </c>
      <c r="X417">
        <f t="shared" si="97"/>
        <v>4150</v>
      </c>
      <c r="Y417">
        <f t="shared" si="96"/>
        <v>0</v>
      </c>
      <c r="Z417" s="4">
        <f t="shared" si="104"/>
        <v>0</v>
      </c>
      <c r="AA417" s="3">
        <f t="shared" si="104"/>
        <v>0</v>
      </c>
      <c r="AB417" t="str">
        <f t="shared" si="92"/>
        <v>0</v>
      </c>
    </row>
    <row r="418" spans="14:28">
      <c r="N418">
        <v>416</v>
      </c>
      <c r="O418">
        <f t="shared" si="98"/>
        <v>160</v>
      </c>
      <c r="P418">
        <f t="shared" si="99"/>
        <v>4160</v>
      </c>
      <c r="Q418">
        <f t="shared" si="100"/>
        <v>129.80000000000001</v>
      </c>
      <c r="R418" s="4">
        <f t="shared" si="101"/>
        <v>1232665.6394453004</v>
      </c>
      <c r="S418" s="3">
        <f t="shared" si="102"/>
        <v>129.80000000000001</v>
      </c>
      <c r="T418" t="str">
        <f t="shared" si="103"/>
        <v>12CF19</v>
      </c>
      <c r="V418">
        <v>416</v>
      </c>
      <c r="W418">
        <f t="shared" si="95"/>
        <v>2060</v>
      </c>
      <c r="X418">
        <f t="shared" si="97"/>
        <v>4160</v>
      </c>
      <c r="Y418">
        <f t="shared" si="96"/>
        <v>0</v>
      </c>
      <c r="Z418" s="4">
        <f t="shared" si="104"/>
        <v>0</v>
      </c>
      <c r="AA418" s="3">
        <f t="shared" si="104"/>
        <v>0</v>
      </c>
      <c r="AB418" t="str">
        <f t="shared" ref="AB418:AB481" si="105">DEC2HEX(Z418)</f>
        <v>0</v>
      </c>
    </row>
    <row r="419" spans="14:28">
      <c r="N419">
        <v>417</v>
      </c>
      <c r="O419">
        <f t="shared" si="98"/>
        <v>170</v>
      </c>
      <c r="P419">
        <f t="shared" si="99"/>
        <v>4170</v>
      </c>
      <c r="Q419">
        <f t="shared" si="100"/>
        <v>137.60000000000002</v>
      </c>
      <c r="R419" s="4">
        <f t="shared" si="101"/>
        <v>1162790.6976744183</v>
      </c>
      <c r="S419" s="3">
        <f t="shared" si="102"/>
        <v>137.60000000000002</v>
      </c>
      <c r="T419" t="str">
        <f t="shared" si="103"/>
        <v>11BE26</v>
      </c>
      <c r="V419">
        <v>417</v>
      </c>
      <c r="W419">
        <f t="shared" si="95"/>
        <v>2070</v>
      </c>
      <c r="X419">
        <f t="shared" si="97"/>
        <v>4170</v>
      </c>
      <c r="Y419">
        <f t="shared" si="96"/>
        <v>0</v>
      </c>
      <c r="Z419" s="4">
        <f t="shared" ref="Z419:AA438" si="106">IFERROR(160*1000*1000/Y419,0)</f>
        <v>0</v>
      </c>
      <c r="AA419" s="3">
        <f t="shared" si="106"/>
        <v>0</v>
      </c>
      <c r="AB419" t="str">
        <f t="shared" si="105"/>
        <v>0</v>
      </c>
    </row>
    <row r="420" spans="14:28">
      <c r="N420">
        <v>418</v>
      </c>
      <c r="O420">
        <f t="shared" si="98"/>
        <v>180</v>
      </c>
      <c r="P420">
        <f t="shared" si="99"/>
        <v>4180</v>
      </c>
      <c r="Q420">
        <f t="shared" si="100"/>
        <v>145.4</v>
      </c>
      <c r="R420" s="4">
        <f t="shared" si="101"/>
        <v>1100412.6547455296</v>
      </c>
      <c r="S420" s="3">
        <f t="shared" si="102"/>
        <v>145.39999999999998</v>
      </c>
      <c r="T420" t="str">
        <f t="shared" si="103"/>
        <v>10CA7C</v>
      </c>
      <c r="V420">
        <v>418</v>
      </c>
      <c r="W420">
        <f t="shared" si="95"/>
        <v>2080</v>
      </c>
      <c r="X420">
        <f t="shared" si="97"/>
        <v>4180</v>
      </c>
      <c r="Y420">
        <f t="shared" si="96"/>
        <v>0</v>
      </c>
      <c r="Z420" s="4">
        <f t="shared" si="106"/>
        <v>0</v>
      </c>
      <c r="AA420" s="3">
        <f t="shared" si="106"/>
        <v>0</v>
      </c>
      <c r="AB420" t="str">
        <f t="shared" si="105"/>
        <v>0</v>
      </c>
    </row>
    <row r="421" spans="14:28">
      <c r="N421">
        <v>419</v>
      </c>
      <c r="O421">
        <f t="shared" si="98"/>
        <v>190</v>
      </c>
      <c r="P421">
        <f t="shared" si="99"/>
        <v>4190</v>
      </c>
      <c r="Q421">
        <f t="shared" si="100"/>
        <v>153.19999999999999</v>
      </c>
      <c r="R421" s="4">
        <f t="shared" si="101"/>
        <v>1044386.4229765014</v>
      </c>
      <c r="S421" s="3">
        <f t="shared" si="102"/>
        <v>153.19999999999999</v>
      </c>
      <c r="T421" t="str">
        <f t="shared" si="103"/>
        <v>FEFA2</v>
      </c>
      <c r="V421">
        <v>419</v>
      </c>
      <c r="W421">
        <f t="shared" si="95"/>
        <v>2090</v>
      </c>
      <c r="X421">
        <f t="shared" si="97"/>
        <v>4190</v>
      </c>
      <c r="Y421">
        <f t="shared" si="96"/>
        <v>0</v>
      </c>
      <c r="Z421" s="4">
        <f t="shared" si="106"/>
        <v>0</v>
      </c>
      <c r="AA421" s="3">
        <f t="shared" si="106"/>
        <v>0</v>
      </c>
      <c r="AB421" t="str">
        <f t="shared" si="105"/>
        <v>0</v>
      </c>
    </row>
    <row r="422" spans="14:28">
      <c r="N422">
        <v>420</v>
      </c>
      <c r="O422">
        <f t="shared" si="98"/>
        <v>200</v>
      </c>
      <c r="P422">
        <f t="shared" si="99"/>
        <v>4200</v>
      </c>
      <c r="Q422">
        <f t="shared" si="100"/>
        <v>161</v>
      </c>
      <c r="R422" s="4">
        <f t="shared" si="101"/>
        <v>993788.81987577642</v>
      </c>
      <c r="S422" s="3">
        <f t="shared" si="102"/>
        <v>161</v>
      </c>
      <c r="T422" t="str">
        <f t="shared" si="103"/>
        <v>F29FC</v>
      </c>
      <c r="V422">
        <v>420</v>
      </c>
      <c r="W422">
        <f t="shared" si="95"/>
        <v>0</v>
      </c>
      <c r="X422">
        <f t="shared" si="97"/>
        <v>4200</v>
      </c>
      <c r="Y422">
        <f t="shared" si="96"/>
        <v>5</v>
      </c>
      <c r="Z422" s="4">
        <f t="shared" si="106"/>
        <v>32000000</v>
      </c>
      <c r="AA422" s="3">
        <f t="shared" si="106"/>
        <v>5</v>
      </c>
      <c r="AB422" t="str">
        <f t="shared" si="105"/>
        <v>1E84800</v>
      </c>
    </row>
    <row r="423" spans="14:28">
      <c r="N423">
        <v>421</v>
      </c>
      <c r="O423">
        <f t="shared" si="98"/>
        <v>210</v>
      </c>
      <c r="P423">
        <f t="shared" si="99"/>
        <v>4210</v>
      </c>
      <c r="Q423">
        <f t="shared" si="100"/>
        <v>168.79999999999998</v>
      </c>
      <c r="R423" s="4">
        <f t="shared" si="101"/>
        <v>947867.29857819912</v>
      </c>
      <c r="S423" s="3">
        <f t="shared" si="102"/>
        <v>168.79999999999998</v>
      </c>
      <c r="T423" t="str">
        <f t="shared" si="103"/>
        <v>E769B</v>
      </c>
      <c r="V423">
        <v>421</v>
      </c>
      <c r="W423">
        <f t="shared" si="95"/>
        <v>10</v>
      </c>
      <c r="X423">
        <f t="shared" si="97"/>
        <v>4210</v>
      </c>
      <c r="Y423">
        <f t="shared" si="96"/>
        <v>6.833333333333333</v>
      </c>
      <c r="Z423" s="4">
        <f t="shared" si="106"/>
        <v>23414634.146341465</v>
      </c>
      <c r="AA423" s="3">
        <f t="shared" si="106"/>
        <v>6.833333333333333</v>
      </c>
      <c r="AB423" t="str">
        <f t="shared" si="105"/>
        <v>165476A</v>
      </c>
    </row>
    <row r="424" spans="14:28">
      <c r="N424">
        <v>422</v>
      </c>
      <c r="O424">
        <f t="shared" si="98"/>
        <v>220</v>
      </c>
      <c r="P424">
        <f t="shared" si="99"/>
        <v>4220</v>
      </c>
      <c r="Q424">
        <f t="shared" si="100"/>
        <v>176.6</v>
      </c>
      <c r="R424" s="4">
        <f t="shared" si="101"/>
        <v>906002.26500566257</v>
      </c>
      <c r="S424" s="3">
        <f t="shared" si="102"/>
        <v>176.6</v>
      </c>
      <c r="T424" t="str">
        <f t="shared" si="103"/>
        <v>DD312</v>
      </c>
      <c r="V424">
        <v>422</v>
      </c>
      <c r="W424">
        <f t="shared" si="95"/>
        <v>20</v>
      </c>
      <c r="X424">
        <f t="shared" si="97"/>
        <v>4220</v>
      </c>
      <c r="Y424">
        <f t="shared" si="96"/>
        <v>8.6666666666666661</v>
      </c>
      <c r="Z424" s="4">
        <f t="shared" si="106"/>
        <v>18461538.461538464</v>
      </c>
      <c r="AA424" s="3">
        <f t="shared" si="106"/>
        <v>8.6666666666666661</v>
      </c>
      <c r="AB424" t="str">
        <f t="shared" si="105"/>
        <v>119B362</v>
      </c>
    </row>
    <row r="425" spans="14:28">
      <c r="N425">
        <v>423</v>
      </c>
      <c r="O425">
        <f t="shared" si="98"/>
        <v>230</v>
      </c>
      <c r="P425">
        <f t="shared" si="99"/>
        <v>4230</v>
      </c>
      <c r="Q425">
        <f t="shared" si="100"/>
        <v>184.4</v>
      </c>
      <c r="R425" s="4">
        <f t="shared" si="101"/>
        <v>867678.95878524939</v>
      </c>
      <c r="S425" s="3">
        <f t="shared" si="102"/>
        <v>184.4</v>
      </c>
      <c r="T425" t="str">
        <f t="shared" si="103"/>
        <v>D3D5E</v>
      </c>
      <c r="V425">
        <v>423</v>
      </c>
      <c r="W425">
        <f t="shared" si="95"/>
        <v>30</v>
      </c>
      <c r="X425">
        <f t="shared" si="97"/>
        <v>4230</v>
      </c>
      <c r="Y425">
        <f t="shared" si="96"/>
        <v>10.5</v>
      </c>
      <c r="Z425" s="4">
        <f t="shared" si="106"/>
        <v>15238095.238095239</v>
      </c>
      <c r="AA425" s="3">
        <f t="shared" si="106"/>
        <v>10.5</v>
      </c>
      <c r="AB425" t="str">
        <f t="shared" si="105"/>
        <v>E883CF</v>
      </c>
    </row>
    <row r="426" spans="14:28">
      <c r="N426">
        <v>424</v>
      </c>
      <c r="O426">
        <f t="shared" si="98"/>
        <v>240</v>
      </c>
      <c r="P426">
        <f t="shared" si="99"/>
        <v>4240</v>
      </c>
      <c r="Q426">
        <f t="shared" si="100"/>
        <v>192.2</v>
      </c>
      <c r="R426" s="4">
        <f t="shared" si="101"/>
        <v>832466.1810613944</v>
      </c>
      <c r="S426" s="3">
        <f t="shared" si="102"/>
        <v>192.2</v>
      </c>
      <c r="T426" t="str">
        <f t="shared" si="103"/>
        <v>CB3D2</v>
      </c>
      <c r="V426">
        <v>424</v>
      </c>
      <c r="W426">
        <f t="shared" si="95"/>
        <v>40</v>
      </c>
      <c r="X426">
        <f t="shared" si="97"/>
        <v>4240</v>
      </c>
      <c r="Y426">
        <f t="shared" si="96"/>
        <v>12.333333333333332</v>
      </c>
      <c r="Z426" s="4">
        <f t="shared" si="106"/>
        <v>12972972.972972974</v>
      </c>
      <c r="AA426" s="3">
        <f t="shared" si="106"/>
        <v>12.333333333333332</v>
      </c>
      <c r="AB426" t="str">
        <f t="shared" si="105"/>
        <v>C5F3AC</v>
      </c>
    </row>
    <row r="427" spans="14:28">
      <c r="N427">
        <v>425</v>
      </c>
      <c r="O427">
        <f t="shared" si="98"/>
        <v>250</v>
      </c>
      <c r="P427">
        <f t="shared" si="99"/>
        <v>4250</v>
      </c>
      <c r="Q427">
        <f t="shared" si="100"/>
        <v>200</v>
      </c>
      <c r="R427" s="4">
        <f t="shared" si="101"/>
        <v>800000</v>
      </c>
      <c r="S427" s="3">
        <f t="shared" si="102"/>
        <v>200</v>
      </c>
      <c r="T427" t="str">
        <f t="shared" si="103"/>
        <v>C3500</v>
      </c>
      <c r="V427">
        <v>425</v>
      </c>
      <c r="W427">
        <f t="shared" si="95"/>
        <v>50</v>
      </c>
      <c r="X427">
        <f t="shared" si="97"/>
        <v>4250</v>
      </c>
      <c r="Y427">
        <f t="shared" si="96"/>
        <v>14.166666666666666</v>
      </c>
      <c r="Z427" s="4">
        <f t="shared" si="106"/>
        <v>11294117.647058824</v>
      </c>
      <c r="AA427" s="3">
        <f t="shared" si="106"/>
        <v>14.166666666666666</v>
      </c>
      <c r="AB427" t="str">
        <f t="shared" si="105"/>
        <v>AC55A5</v>
      </c>
    </row>
    <row r="428" spans="14:28">
      <c r="N428">
        <v>426</v>
      </c>
      <c r="O428">
        <f t="shared" si="98"/>
        <v>260</v>
      </c>
      <c r="P428">
        <f t="shared" si="99"/>
        <v>4260</v>
      </c>
      <c r="Q428">
        <f t="shared" si="100"/>
        <v>200</v>
      </c>
      <c r="R428" s="4">
        <f t="shared" si="101"/>
        <v>800000</v>
      </c>
      <c r="S428" s="3">
        <f t="shared" si="102"/>
        <v>200</v>
      </c>
      <c r="T428" t="str">
        <f t="shared" si="103"/>
        <v>C3500</v>
      </c>
      <c r="V428">
        <v>426</v>
      </c>
      <c r="W428">
        <f t="shared" si="95"/>
        <v>60</v>
      </c>
      <c r="X428">
        <f t="shared" si="97"/>
        <v>4260</v>
      </c>
      <c r="Y428">
        <f t="shared" si="96"/>
        <v>16</v>
      </c>
      <c r="Z428" s="4">
        <f t="shared" si="106"/>
        <v>10000000</v>
      </c>
      <c r="AA428" s="3">
        <f t="shared" si="106"/>
        <v>16</v>
      </c>
      <c r="AB428" t="str">
        <f t="shared" si="105"/>
        <v>989680</v>
      </c>
    </row>
    <row r="429" spans="14:28">
      <c r="N429">
        <v>427</v>
      </c>
      <c r="O429">
        <f t="shared" si="98"/>
        <v>270</v>
      </c>
      <c r="P429">
        <f t="shared" si="99"/>
        <v>4270</v>
      </c>
      <c r="Q429">
        <f t="shared" si="100"/>
        <v>200</v>
      </c>
      <c r="R429" s="4">
        <f t="shared" si="101"/>
        <v>800000</v>
      </c>
      <c r="S429" s="3">
        <f t="shared" si="102"/>
        <v>200</v>
      </c>
      <c r="T429" t="str">
        <f t="shared" si="103"/>
        <v>C3500</v>
      </c>
      <c r="V429">
        <v>427</v>
      </c>
      <c r="W429">
        <f t="shared" si="95"/>
        <v>70</v>
      </c>
      <c r="X429">
        <f t="shared" si="97"/>
        <v>4270</v>
      </c>
      <c r="Y429">
        <f t="shared" si="96"/>
        <v>17.833333333333336</v>
      </c>
      <c r="Z429" s="4">
        <f t="shared" si="106"/>
        <v>8971962.616822429</v>
      </c>
      <c r="AA429" s="3">
        <f t="shared" si="106"/>
        <v>17.833333333333336</v>
      </c>
      <c r="AB429" t="str">
        <f t="shared" si="105"/>
        <v>88E6BA</v>
      </c>
    </row>
    <row r="430" spans="14:28">
      <c r="N430">
        <v>428</v>
      </c>
      <c r="O430">
        <f t="shared" si="98"/>
        <v>280</v>
      </c>
      <c r="P430">
        <f t="shared" si="99"/>
        <v>4280</v>
      </c>
      <c r="Q430">
        <f t="shared" si="100"/>
        <v>200</v>
      </c>
      <c r="R430" s="4">
        <f t="shared" si="101"/>
        <v>800000</v>
      </c>
      <c r="S430" s="3">
        <f t="shared" si="102"/>
        <v>200</v>
      </c>
      <c r="T430" t="str">
        <f t="shared" si="103"/>
        <v>C3500</v>
      </c>
      <c r="V430">
        <v>428</v>
      </c>
      <c r="W430">
        <f t="shared" si="95"/>
        <v>80</v>
      </c>
      <c r="X430">
        <f t="shared" si="97"/>
        <v>4280</v>
      </c>
      <c r="Y430">
        <f t="shared" si="96"/>
        <v>19.666666666666664</v>
      </c>
      <c r="Z430" s="4">
        <f t="shared" si="106"/>
        <v>8135593.2203389844</v>
      </c>
      <c r="AA430" s="3">
        <f t="shared" si="106"/>
        <v>19.666666666666664</v>
      </c>
      <c r="AB430" t="str">
        <f t="shared" si="105"/>
        <v>7C23A9</v>
      </c>
    </row>
    <row r="431" spans="14:28">
      <c r="N431">
        <v>429</v>
      </c>
      <c r="O431">
        <f t="shared" si="98"/>
        <v>290</v>
      </c>
      <c r="P431">
        <f t="shared" si="99"/>
        <v>4290</v>
      </c>
      <c r="Q431">
        <f t="shared" si="100"/>
        <v>200</v>
      </c>
      <c r="R431" s="4">
        <f t="shared" si="101"/>
        <v>800000</v>
      </c>
      <c r="S431" s="3">
        <f t="shared" si="102"/>
        <v>200</v>
      </c>
      <c r="T431" t="str">
        <f t="shared" si="103"/>
        <v>C3500</v>
      </c>
      <c r="V431">
        <v>429</v>
      </c>
      <c r="W431">
        <f t="shared" si="95"/>
        <v>90</v>
      </c>
      <c r="X431">
        <f t="shared" si="97"/>
        <v>4290</v>
      </c>
      <c r="Y431">
        <f t="shared" si="96"/>
        <v>21.5</v>
      </c>
      <c r="Z431" s="4">
        <f t="shared" si="106"/>
        <v>7441860.4651162792</v>
      </c>
      <c r="AA431" s="3">
        <f t="shared" si="106"/>
        <v>21.5</v>
      </c>
      <c r="AB431" t="str">
        <f t="shared" si="105"/>
        <v>718DC4</v>
      </c>
    </row>
    <row r="432" spans="14:28">
      <c r="N432">
        <v>430</v>
      </c>
      <c r="O432">
        <f t="shared" si="98"/>
        <v>300</v>
      </c>
      <c r="P432">
        <f t="shared" si="99"/>
        <v>4300</v>
      </c>
      <c r="Q432">
        <f t="shared" si="100"/>
        <v>200</v>
      </c>
      <c r="R432" s="4">
        <f t="shared" si="101"/>
        <v>800000</v>
      </c>
      <c r="S432" s="3">
        <f t="shared" si="102"/>
        <v>200</v>
      </c>
      <c r="T432" t="str">
        <f t="shared" si="103"/>
        <v>C3500</v>
      </c>
      <c r="V432">
        <v>430</v>
      </c>
      <c r="W432">
        <f t="shared" si="95"/>
        <v>100</v>
      </c>
      <c r="X432">
        <f t="shared" si="97"/>
        <v>4300</v>
      </c>
      <c r="Y432">
        <f t="shared" si="96"/>
        <v>23.333333333333332</v>
      </c>
      <c r="Z432" s="4">
        <f t="shared" si="106"/>
        <v>6857142.8571428573</v>
      </c>
      <c r="AA432" s="3">
        <f t="shared" si="106"/>
        <v>23.333333333333332</v>
      </c>
      <c r="AB432" t="str">
        <f t="shared" si="105"/>
        <v>68A1B6</v>
      </c>
    </row>
    <row r="433" spans="14:28">
      <c r="N433">
        <v>431</v>
      </c>
      <c r="O433">
        <f t="shared" si="98"/>
        <v>310</v>
      </c>
      <c r="P433">
        <f t="shared" si="99"/>
        <v>4310</v>
      </c>
      <c r="Q433">
        <f t="shared" si="100"/>
        <v>200</v>
      </c>
      <c r="R433" s="4">
        <f t="shared" si="101"/>
        <v>800000</v>
      </c>
      <c r="S433" s="3">
        <f t="shared" si="102"/>
        <v>200</v>
      </c>
      <c r="T433" t="str">
        <f t="shared" si="103"/>
        <v>C3500</v>
      </c>
      <c r="V433">
        <v>431</v>
      </c>
      <c r="W433">
        <f t="shared" si="95"/>
        <v>110</v>
      </c>
      <c r="X433">
        <f t="shared" si="97"/>
        <v>4310</v>
      </c>
      <c r="Y433">
        <f t="shared" si="96"/>
        <v>25.166666666666664</v>
      </c>
      <c r="Z433" s="4">
        <f t="shared" si="106"/>
        <v>6357615.8940397361</v>
      </c>
      <c r="AA433" s="3">
        <f t="shared" si="106"/>
        <v>25.166666666666664</v>
      </c>
      <c r="AB433" t="str">
        <f t="shared" si="105"/>
        <v>61026F</v>
      </c>
    </row>
    <row r="434" spans="14:28">
      <c r="N434">
        <v>432</v>
      </c>
      <c r="O434">
        <f t="shared" si="98"/>
        <v>320</v>
      </c>
      <c r="P434">
        <f t="shared" si="99"/>
        <v>4320</v>
      </c>
      <c r="Q434">
        <f t="shared" si="100"/>
        <v>200</v>
      </c>
      <c r="R434" s="4">
        <f t="shared" si="101"/>
        <v>800000</v>
      </c>
      <c r="S434" s="3">
        <f t="shared" si="102"/>
        <v>200</v>
      </c>
      <c r="T434" t="str">
        <f t="shared" si="103"/>
        <v>C3500</v>
      </c>
      <c r="V434">
        <v>432</v>
      </c>
      <c r="W434">
        <f t="shared" si="95"/>
        <v>120</v>
      </c>
      <c r="X434">
        <f t="shared" si="97"/>
        <v>4320</v>
      </c>
      <c r="Y434">
        <f t="shared" si="96"/>
        <v>27</v>
      </c>
      <c r="Z434" s="4">
        <f t="shared" si="106"/>
        <v>5925925.9259259263</v>
      </c>
      <c r="AA434" s="3">
        <f t="shared" si="106"/>
        <v>27</v>
      </c>
      <c r="AB434" t="str">
        <f t="shared" si="105"/>
        <v>5A6C25</v>
      </c>
    </row>
    <row r="435" spans="14:28">
      <c r="N435">
        <v>433</v>
      </c>
      <c r="O435">
        <f t="shared" si="98"/>
        <v>330</v>
      </c>
      <c r="P435">
        <f t="shared" si="99"/>
        <v>4330</v>
      </c>
      <c r="Q435">
        <f t="shared" si="100"/>
        <v>200</v>
      </c>
      <c r="R435" s="4">
        <f t="shared" si="101"/>
        <v>800000</v>
      </c>
      <c r="S435" s="3">
        <f t="shared" si="102"/>
        <v>200</v>
      </c>
      <c r="T435" t="str">
        <f t="shared" si="103"/>
        <v>C3500</v>
      </c>
      <c r="V435">
        <v>433</v>
      </c>
      <c r="W435">
        <f t="shared" si="95"/>
        <v>130</v>
      </c>
      <c r="X435">
        <f t="shared" si="97"/>
        <v>4330</v>
      </c>
      <c r="Y435">
        <f t="shared" si="96"/>
        <v>28.833333333333336</v>
      </c>
      <c r="Z435" s="4">
        <f t="shared" si="106"/>
        <v>5549132.9479768779</v>
      </c>
      <c r="AA435" s="3">
        <f t="shared" si="106"/>
        <v>28.833333333333336</v>
      </c>
      <c r="AB435" t="str">
        <f t="shared" si="105"/>
        <v>54AC4C</v>
      </c>
    </row>
    <row r="436" spans="14:28">
      <c r="N436">
        <v>434</v>
      </c>
      <c r="O436">
        <f t="shared" si="98"/>
        <v>340</v>
      </c>
      <c r="P436">
        <f t="shared" si="99"/>
        <v>4340</v>
      </c>
      <c r="Q436">
        <f t="shared" si="100"/>
        <v>200</v>
      </c>
      <c r="R436" s="4">
        <f t="shared" si="101"/>
        <v>800000</v>
      </c>
      <c r="S436" s="3">
        <f t="shared" si="102"/>
        <v>200</v>
      </c>
      <c r="T436" t="str">
        <f t="shared" si="103"/>
        <v>C3500</v>
      </c>
      <c r="V436">
        <v>434</v>
      </c>
      <c r="W436">
        <f t="shared" si="95"/>
        <v>140</v>
      </c>
      <c r="X436">
        <f t="shared" si="97"/>
        <v>4340</v>
      </c>
      <c r="Y436">
        <f t="shared" si="96"/>
        <v>30.666666666666668</v>
      </c>
      <c r="Z436" s="4">
        <f t="shared" si="106"/>
        <v>5217391.3043478262</v>
      </c>
      <c r="AA436" s="3">
        <f t="shared" si="106"/>
        <v>30.666666666666668</v>
      </c>
      <c r="AB436" t="str">
        <f t="shared" si="105"/>
        <v>4F9C6F</v>
      </c>
    </row>
    <row r="437" spans="14:28">
      <c r="N437">
        <v>435</v>
      </c>
      <c r="O437">
        <f t="shared" si="98"/>
        <v>350</v>
      </c>
      <c r="P437">
        <f t="shared" si="99"/>
        <v>4350</v>
      </c>
      <c r="Q437">
        <f t="shared" si="100"/>
        <v>200</v>
      </c>
      <c r="R437" s="4">
        <f t="shared" si="101"/>
        <v>800000</v>
      </c>
      <c r="S437" s="3">
        <f t="shared" si="102"/>
        <v>200</v>
      </c>
      <c r="T437" t="str">
        <f t="shared" si="103"/>
        <v>C3500</v>
      </c>
      <c r="V437">
        <v>435</v>
      </c>
      <c r="W437">
        <f t="shared" si="95"/>
        <v>150</v>
      </c>
      <c r="X437">
        <f t="shared" si="97"/>
        <v>4350</v>
      </c>
      <c r="Y437">
        <f t="shared" si="96"/>
        <v>32.5</v>
      </c>
      <c r="Z437" s="4">
        <f t="shared" si="106"/>
        <v>4923076.923076923</v>
      </c>
      <c r="AA437" s="3">
        <f t="shared" si="106"/>
        <v>32.5</v>
      </c>
      <c r="AB437" t="str">
        <f t="shared" si="105"/>
        <v>4B1EC4</v>
      </c>
    </row>
    <row r="438" spans="14:28">
      <c r="N438">
        <v>436</v>
      </c>
      <c r="O438">
        <f t="shared" si="98"/>
        <v>360</v>
      </c>
      <c r="P438">
        <f t="shared" si="99"/>
        <v>4360</v>
      </c>
      <c r="Q438">
        <f t="shared" si="100"/>
        <v>200</v>
      </c>
      <c r="R438" s="4">
        <f t="shared" si="101"/>
        <v>800000</v>
      </c>
      <c r="S438" s="3">
        <f t="shared" si="102"/>
        <v>200</v>
      </c>
      <c r="T438" t="str">
        <f t="shared" si="103"/>
        <v>C3500</v>
      </c>
      <c r="V438">
        <v>436</v>
      </c>
      <c r="W438">
        <f t="shared" si="95"/>
        <v>160</v>
      </c>
      <c r="X438">
        <f t="shared" si="97"/>
        <v>4360</v>
      </c>
      <c r="Y438">
        <f t="shared" si="96"/>
        <v>34.333333333333329</v>
      </c>
      <c r="Z438" s="4">
        <f t="shared" si="106"/>
        <v>4660194.1747572822</v>
      </c>
      <c r="AA438" s="3">
        <f t="shared" si="106"/>
        <v>34.333333333333329</v>
      </c>
      <c r="AB438" t="str">
        <f t="shared" si="105"/>
        <v>471BE2</v>
      </c>
    </row>
    <row r="439" spans="14:28">
      <c r="N439">
        <v>437</v>
      </c>
      <c r="O439">
        <f t="shared" si="98"/>
        <v>370</v>
      </c>
      <c r="P439">
        <f t="shared" si="99"/>
        <v>4370</v>
      </c>
      <c r="Q439">
        <f t="shared" si="100"/>
        <v>200</v>
      </c>
      <c r="R439" s="4">
        <f t="shared" si="101"/>
        <v>800000</v>
      </c>
      <c r="S439" s="3">
        <f t="shared" si="102"/>
        <v>200</v>
      </c>
      <c r="T439" t="str">
        <f t="shared" si="103"/>
        <v>C3500</v>
      </c>
      <c r="V439">
        <v>437</v>
      </c>
      <c r="W439">
        <f t="shared" si="95"/>
        <v>170</v>
      </c>
      <c r="X439">
        <f t="shared" si="97"/>
        <v>4370</v>
      </c>
      <c r="Y439">
        <f t="shared" si="96"/>
        <v>36.166666666666664</v>
      </c>
      <c r="Z439" s="4">
        <f t="shared" ref="Z439:AA458" si="107">IFERROR(160*1000*1000/Y439,0)</f>
        <v>4423963.1336405529</v>
      </c>
      <c r="AA439" s="3">
        <f t="shared" si="107"/>
        <v>36.166666666666664</v>
      </c>
      <c r="AB439" t="str">
        <f t="shared" si="105"/>
        <v>43811B</v>
      </c>
    </row>
    <row r="440" spans="14:28">
      <c r="N440">
        <v>438</v>
      </c>
      <c r="O440">
        <f t="shared" si="98"/>
        <v>380</v>
      </c>
      <c r="P440">
        <f t="shared" si="99"/>
        <v>4380</v>
      </c>
      <c r="Q440">
        <f t="shared" si="100"/>
        <v>200</v>
      </c>
      <c r="R440" s="4">
        <f t="shared" si="101"/>
        <v>800000</v>
      </c>
      <c r="S440" s="3">
        <f t="shared" si="102"/>
        <v>200</v>
      </c>
      <c r="T440" t="str">
        <f t="shared" si="103"/>
        <v>C3500</v>
      </c>
      <c r="V440">
        <v>438</v>
      </c>
      <c r="W440">
        <f t="shared" si="95"/>
        <v>180</v>
      </c>
      <c r="X440">
        <f t="shared" si="97"/>
        <v>4380</v>
      </c>
      <c r="Y440">
        <f t="shared" si="96"/>
        <v>38</v>
      </c>
      <c r="Z440" s="4">
        <f t="shared" si="107"/>
        <v>4210526.3157894732</v>
      </c>
      <c r="AA440" s="3">
        <f t="shared" si="107"/>
        <v>38.000000000000007</v>
      </c>
      <c r="AB440" t="str">
        <f t="shared" si="105"/>
        <v>403F5E</v>
      </c>
    </row>
    <row r="441" spans="14:28">
      <c r="N441">
        <v>439</v>
      </c>
      <c r="O441">
        <f t="shared" si="98"/>
        <v>390</v>
      </c>
      <c r="P441">
        <f t="shared" si="99"/>
        <v>4390</v>
      </c>
      <c r="Q441">
        <f t="shared" si="100"/>
        <v>200</v>
      </c>
      <c r="R441" s="4">
        <f t="shared" si="101"/>
        <v>800000</v>
      </c>
      <c r="S441" s="3">
        <f t="shared" si="102"/>
        <v>200</v>
      </c>
      <c r="T441" t="str">
        <f t="shared" si="103"/>
        <v>C3500</v>
      </c>
      <c r="V441">
        <v>439</v>
      </c>
      <c r="W441">
        <f t="shared" si="95"/>
        <v>190</v>
      </c>
      <c r="X441">
        <f t="shared" si="97"/>
        <v>4390</v>
      </c>
      <c r="Y441">
        <f t="shared" si="96"/>
        <v>39.833333333333329</v>
      </c>
      <c r="Z441" s="4">
        <f t="shared" si="107"/>
        <v>4016736.4016736406</v>
      </c>
      <c r="AA441" s="3">
        <f t="shared" si="107"/>
        <v>39.833333333333329</v>
      </c>
      <c r="AB441" t="str">
        <f t="shared" si="105"/>
        <v>3D4A60</v>
      </c>
    </row>
    <row r="442" spans="14:28">
      <c r="N442">
        <v>440</v>
      </c>
      <c r="O442">
        <f t="shared" si="98"/>
        <v>400</v>
      </c>
      <c r="P442">
        <f t="shared" si="99"/>
        <v>4400</v>
      </c>
      <c r="Q442">
        <f t="shared" si="100"/>
        <v>200</v>
      </c>
      <c r="R442" s="4">
        <f t="shared" si="101"/>
        <v>800000</v>
      </c>
      <c r="S442" s="3">
        <f t="shared" si="102"/>
        <v>200</v>
      </c>
      <c r="T442" t="str">
        <f t="shared" si="103"/>
        <v>C3500</v>
      </c>
      <c r="V442">
        <v>440</v>
      </c>
      <c r="W442">
        <f t="shared" si="95"/>
        <v>200</v>
      </c>
      <c r="X442">
        <f t="shared" si="97"/>
        <v>4400</v>
      </c>
      <c r="Y442">
        <f t="shared" si="96"/>
        <v>41.666666666666664</v>
      </c>
      <c r="Z442" s="4">
        <f t="shared" si="107"/>
        <v>3840000</v>
      </c>
      <c r="AA442" s="3">
        <f t="shared" si="107"/>
        <v>41.666666666666664</v>
      </c>
      <c r="AB442" t="str">
        <f t="shared" si="105"/>
        <v>3A9800</v>
      </c>
    </row>
    <row r="443" spans="14:28">
      <c r="N443">
        <v>441</v>
      </c>
      <c r="O443">
        <f t="shared" si="98"/>
        <v>410</v>
      </c>
      <c r="P443">
        <f t="shared" si="99"/>
        <v>4410</v>
      </c>
      <c r="Q443">
        <f t="shared" si="100"/>
        <v>200</v>
      </c>
      <c r="R443" s="4">
        <f t="shared" si="101"/>
        <v>800000</v>
      </c>
      <c r="S443" s="3">
        <f t="shared" si="102"/>
        <v>200</v>
      </c>
      <c r="T443" t="str">
        <f t="shared" si="103"/>
        <v>C3500</v>
      </c>
      <c r="V443">
        <v>441</v>
      </c>
      <c r="W443">
        <f t="shared" si="95"/>
        <v>210</v>
      </c>
      <c r="X443">
        <f t="shared" si="97"/>
        <v>4410</v>
      </c>
      <c r="Y443">
        <f t="shared" si="96"/>
        <v>43.5</v>
      </c>
      <c r="Z443" s="4">
        <f t="shared" si="107"/>
        <v>3678160.9195402297</v>
      </c>
      <c r="AA443" s="3">
        <f t="shared" si="107"/>
        <v>43.5</v>
      </c>
      <c r="AB443" t="str">
        <f t="shared" si="105"/>
        <v>381FD0</v>
      </c>
    </row>
    <row r="444" spans="14:28">
      <c r="N444">
        <v>442</v>
      </c>
      <c r="O444">
        <f t="shared" si="98"/>
        <v>420</v>
      </c>
      <c r="P444">
        <f t="shared" si="99"/>
        <v>4420</v>
      </c>
      <c r="Q444">
        <f t="shared" si="100"/>
        <v>200</v>
      </c>
      <c r="R444" s="4">
        <f t="shared" si="101"/>
        <v>800000</v>
      </c>
      <c r="S444" s="3">
        <f t="shared" si="102"/>
        <v>200</v>
      </c>
      <c r="T444" t="str">
        <f t="shared" si="103"/>
        <v>C3500</v>
      </c>
      <c r="V444">
        <v>442</v>
      </c>
      <c r="W444">
        <f t="shared" si="95"/>
        <v>220</v>
      </c>
      <c r="X444">
        <f t="shared" si="97"/>
        <v>4420</v>
      </c>
      <c r="Y444">
        <f t="shared" si="96"/>
        <v>45.333333333333329</v>
      </c>
      <c r="Z444" s="4">
        <f t="shared" si="107"/>
        <v>3529411.7647058829</v>
      </c>
      <c r="AA444" s="3">
        <f t="shared" si="107"/>
        <v>45.333333333333329</v>
      </c>
      <c r="AB444" t="str">
        <f t="shared" si="105"/>
        <v>35DAC3</v>
      </c>
    </row>
    <row r="445" spans="14:28">
      <c r="N445">
        <v>443</v>
      </c>
      <c r="O445">
        <f t="shared" si="98"/>
        <v>430</v>
      </c>
      <c r="P445">
        <f t="shared" si="99"/>
        <v>4430</v>
      </c>
      <c r="Q445">
        <f t="shared" si="100"/>
        <v>200</v>
      </c>
      <c r="R445" s="4">
        <f t="shared" si="101"/>
        <v>800000</v>
      </c>
      <c r="S445" s="3">
        <f t="shared" si="102"/>
        <v>200</v>
      </c>
      <c r="T445" t="str">
        <f t="shared" si="103"/>
        <v>C3500</v>
      </c>
      <c r="V445">
        <v>443</v>
      </c>
      <c r="W445">
        <f t="shared" si="95"/>
        <v>230</v>
      </c>
      <c r="X445">
        <f t="shared" si="97"/>
        <v>4430</v>
      </c>
      <c r="Y445">
        <f t="shared" si="96"/>
        <v>47.166666666666671</v>
      </c>
      <c r="Z445" s="4">
        <f t="shared" si="107"/>
        <v>3392226.1484098937</v>
      </c>
      <c r="AA445" s="3">
        <f t="shared" si="107"/>
        <v>47.166666666666671</v>
      </c>
      <c r="AB445" t="str">
        <f t="shared" si="105"/>
        <v>33C2E2</v>
      </c>
    </row>
    <row r="446" spans="14:28">
      <c r="N446">
        <v>444</v>
      </c>
      <c r="O446">
        <f t="shared" si="98"/>
        <v>440</v>
      </c>
      <c r="P446">
        <f t="shared" si="99"/>
        <v>4440</v>
      </c>
      <c r="Q446">
        <f t="shared" si="100"/>
        <v>200</v>
      </c>
      <c r="R446" s="4">
        <f t="shared" si="101"/>
        <v>800000</v>
      </c>
      <c r="S446" s="3">
        <f t="shared" si="102"/>
        <v>200</v>
      </c>
      <c r="T446" t="str">
        <f t="shared" si="103"/>
        <v>C3500</v>
      </c>
      <c r="V446">
        <v>444</v>
      </c>
      <c r="W446">
        <f t="shared" si="95"/>
        <v>240</v>
      </c>
      <c r="X446">
        <f t="shared" si="97"/>
        <v>4440</v>
      </c>
      <c r="Y446">
        <f t="shared" si="96"/>
        <v>49</v>
      </c>
      <c r="Z446" s="4">
        <f t="shared" si="107"/>
        <v>3265306.1224489794</v>
      </c>
      <c r="AA446" s="3">
        <f t="shared" si="107"/>
        <v>49</v>
      </c>
      <c r="AB446" t="str">
        <f t="shared" si="105"/>
        <v>31D31A</v>
      </c>
    </row>
    <row r="447" spans="14:28">
      <c r="N447">
        <v>445</v>
      </c>
      <c r="O447">
        <f t="shared" si="98"/>
        <v>450</v>
      </c>
      <c r="P447">
        <f t="shared" si="99"/>
        <v>4450</v>
      </c>
      <c r="Q447">
        <f t="shared" si="100"/>
        <v>200</v>
      </c>
      <c r="R447" s="4">
        <f t="shared" si="101"/>
        <v>800000</v>
      </c>
      <c r="S447" s="3">
        <f t="shared" si="102"/>
        <v>200</v>
      </c>
      <c r="T447" t="str">
        <f t="shared" si="103"/>
        <v>C3500</v>
      </c>
      <c r="V447">
        <v>445</v>
      </c>
      <c r="W447">
        <f t="shared" ref="W447:W510" si="108">MOD(X447,$A$14+$A$15)</f>
        <v>250</v>
      </c>
      <c r="X447">
        <f t="shared" si="97"/>
        <v>4450</v>
      </c>
      <c r="Y447">
        <f t="shared" ref="Y447:Y510" si="109">IF(W447&gt;$A$14,0,IF(W447&lt;$A$13,W447/($A$13)*($A$11-$A$12)+$A$12,IF($A$14-W447&lt;$A$13,($A$14-W447)/($A$13)*($A$11-$A$12)+$A$12,$A$11)))</f>
        <v>50.833333333333336</v>
      </c>
      <c r="Z447" s="4">
        <f t="shared" si="107"/>
        <v>3147540.9836065574</v>
      </c>
      <c r="AA447" s="3">
        <f t="shared" si="107"/>
        <v>50.833333333333336</v>
      </c>
      <c r="AB447" t="str">
        <f t="shared" si="105"/>
        <v>300714</v>
      </c>
    </row>
    <row r="448" spans="14:28">
      <c r="N448">
        <v>446</v>
      </c>
      <c r="O448">
        <f t="shared" si="98"/>
        <v>460</v>
      </c>
      <c r="P448">
        <f t="shared" si="99"/>
        <v>4460</v>
      </c>
      <c r="Q448">
        <f t="shared" si="100"/>
        <v>200</v>
      </c>
      <c r="R448" s="4">
        <f t="shared" si="101"/>
        <v>800000</v>
      </c>
      <c r="S448" s="3">
        <f t="shared" si="102"/>
        <v>200</v>
      </c>
      <c r="T448" t="str">
        <f t="shared" si="103"/>
        <v>C3500</v>
      </c>
      <c r="V448">
        <v>446</v>
      </c>
      <c r="W448">
        <f t="shared" si="108"/>
        <v>260</v>
      </c>
      <c r="X448">
        <f t="shared" ref="X448:X511" si="110">V448*10</f>
        <v>4460</v>
      </c>
      <c r="Y448">
        <f t="shared" si="109"/>
        <v>52.666666666666671</v>
      </c>
      <c r="Z448" s="4">
        <f t="shared" si="107"/>
        <v>3037974.6835443038</v>
      </c>
      <c r="AA448" s="3">
        <f t="shared" si="107"/>
        <v>52.666666666666664</v>
      </c>
      <c r="AB448" t="str">
        <f t="shared" si="105"/>
        <v>2E5B16</v>
      </c>
    </row>
    <row r="449" spans="14:28">
      <c r="N449">
        <v>447</v>
      </c>
      <c r="O449">
        <f t="shared" si="98"/>
        <v>470</v>
      </c>
      <c r="P449">
        <f t="shared" si="99"/>
        <v>4470</v>
      </c>
      <c r="Q449">
        <f t="shared" si="100"/>
        <v>200</v>
      </c>
      <c r="R449" s="4">
        <f t="shared" si="101"/>
        <v>800000</v>
      </c>
      <c r="S449" s="3">
        <f t="shared" si="102"/>
        <v>200</v>
      </c>
      <c r="T449" t="str">
        <f t="shared" si="103"/>
        <v>C3500</v>
      </c>
      <c r="V449">
        <v>447</v>
      </c>
      <c r="W449">
        <f t="shared" si="108"/>
        <v>270</v>
      </c>
      <c r="X449">
        <f t="shared" si="110"/>
        <v>4470</v>
      </c>
      <c r="Y449">
        <f t="shared" si="109"/>
        <v>54.5</v>
      </c>
      <c r="Z449" s="4">
        <f t="shared" si="107"/>
        <v>2935779.8165137614</v>
      </c>
      <c r="AA449" s="3">
        <f t="shared" si="107"/>
        <v>54.5</v>
      </c>
      <c r="AB449" t="str">
        <f t="shared" si="105"/>
        <v>2CCBE3</v>
      </c>
    </row>
    <row r="450" spans="14:28">
      <c r="N450">
        <v>448</v>
      </c>
      <c r="O450">
        <f t="shared" si="98"/>
        <v>480</v>
      </c>
      <c r="P450">
        <f t="shared" si="99"/>
        <v>4480</v>
      </c>
      <c r="Q450">
        <f t="shared" si="100"/>
        <v>200</v>
      </c>
      <c r="R450" s="4">
        <f t="shared" si="101"/>
        <v>800000</v>
      </c>
      <c r="S450" s="3">
        <f t="shared" si="102"/>
        <v>200</v>
      </c>
      <c r="T450" t="str">
        <f t="shared" si="103"/>
        <v>C3500</v>
      </c>
      <c r="V450">
        <v>448</v>
      </c>
      <c r="W450">
        <f t="shared" si="108"/>
        <v>280</v>
      </c>
      <c r="X450">
        <f t="shared" si="110"/>
        <v>4480</v>
      </c>
      <c r="Y450">
        <f t="shared" si="109"/>
        <v>56.333333333333336</v>
      </c>
      <c r="Z450" s="4">
        <f t="shared" si="107"/>
        <v>2840236.6863905326</v>
      </c>
      <c r="AA450" s="3">
        <f t="shared" si="107"/>
        <v>56.333333333333329</v>
      </c>
      <c r="AB450" t="str">
        <f t="shared" si="105"/>
        <v>2B56AC</v>
      </c>
    </row>
    <row r="451" spans="14:28">
      <c r="N451">
        <v>449</v>
      </c>
      <c r="O451">
        <f t="shared" ref="O451:O514" si="111">MOD(P451,$A$5+$A$6)</f>
        <v>490</v>
      </c>
      <c r="P451">
        <f t="shared" si="99"/>
        <v>4490</v>
      </c>
      <c r="Q451">
        <f t="shared" si="100"/>
        <v>200</v>
      </c>
      <c r="R451" s="4">
        <f t="shared" si="101"/>
        <v>800000</v>
      </c>
      <c r="S451" s="3">
        <f t="shared" si="102"/>
        <v>200</v>
      </c>
      <c r="T451" t="str">
        <f t="shared" si="103"/>
        <v>C3500</v>
      </c>
      <c r="V451">
        <v>449</v>
      </c>
      <c r="W451">
        <f t="shared" si="108"/>
        <v>290</v>
      </c>
      <c r="X451">
        <f t="shared" si="110"/>
        <v>4490</v>
      </c>
      <c r="Y451">
        <f t="shared" si="109"/>
        <v>58.166666666666664</v>
      </c>
      <c r="Z451" s="4">
        <f t="shared" si="107"/>
        <v>2750716.3323782235</v>
      </c>
      <c r="AA451" s="3">
        <f t="shared" si="107"/>
        <v>58.166666666666664</v>
      </c>
      <c r="AB451" t="str">
        <f t="shared" si="105"/>
        <v>29F8FC</v>
      </c>
    </row>
    <row r="452" spans="14:28">
      <c r="N452">
        <v>450</v>
      </c>
      <c r="O452">
        <f t="shared" si="111"/>
        <v>500</v>
      </c>
      <c r="P452">
        <f t="shared" si="99"/>
        <v>4500</v>
      </c>
      <c r="Q452">
        <f t="shared" si="100"/>
        <v>200</v>
      </c>
      <c r="R452" s="4">
        <f t="shared" si="101"/>
        <v>800000</v>
      </c>
      <c r="S452" s="3">
        <f t="shared" si="102"/>
        <v>200</v>
      </c>
      <c r="T452" t="str">
        <f t="shared" si="103"/>
        <v>C3500</v>
      </c>
      <c r="V452">
        <v>450</v>
      </c>
      <c r="W452">
        <f t="shared" si="108"/>
        <v>300</v>
      </c>
      <c r="X452">
        <f t="shared" si="110"/>
        <v>4500</v>
      </c>
      <c r="Y452">
        <f t="shared" si="109"/>
        <v>60</v>
      </c>
      <c r="Z452" s="4">
        <f t="shared" si="107"/>
        <v>2666666.6666666665</v>
      </c>
      <c r="AA452" s="3">
        <f t="shared" si="107"/>
        <v>60</v>
      </c>
      <c r="AB452" t="str">
        <f t="shared" si="105"/>
        <v>28B0AA</v>
      </c>
    </row>
    <row r="453" spans="14:28">
      <c r="N453">
        <v>451</v>
      </c>
      <c r="O453">
        <f t="shared" si="111"/>
        <v>510</v>
      </c>
      <c r="P453">
        <f t="shared" si="99"/>
        <v>4510</v>
      </c>
      <c r="Q453">
        <f t="shared" si="100"/>
        <v>200</v>
      </c>
      <c r="R453" s="4">
        <f t="shared" si="101"/>
        <v>800000</v>
      </c>
      <c r="S453" s="3">
        <f t="shared" si="102"/>
        <v>200</v>
      </c>
      <c r="T453" t="str">
        <f t="shared" si="103"/>
        <v>C3500</v>
      </c>
      <c r="V453">
        <v>451</v>
      </c>
      <c r="W453">
        <f t="shared" si="108"/>
        <v>310</v>
      </c>
      <c r="X453">
        <f t="shared" si="110"/>
        <v>4510</v>
      </c>
      <c r="Y453">
        <f t="shared" si="109"/>
        <v>60</v>
      </c>
      <c r="Z453" s="4">
        <f t="shared" si="107"/>
        <v>2666666.6666666665</v>
      </c>
      <c r="AA453" s="3">
        <f t="shared" si="107"/>
        <v>60</v>
      </c>
      <c r="AB453" t="str">
        <f t="shared" si="105"/>
        <v>28B0AA</v>
      </c>
    </row>
    <row r="454" spans="14:28">
      <c r="N454">
        <v>452</v>
      </c>
      <c r="O454">
        <f t="shared" si="111"/>
        <v>520</v>
      </c>
      <c r="P454">
        <f t="shared" si="99"/>
        <v>4520</v>
      </c>
      <c r="Q454">
        <f t="shared" si="100"/>
        <v>200</v>
      </c>
      <c r="R454" s="4">
        <f t="shared" si="101"/>
        <v>800000</v>
      </c>
      <c r="S454" s="3">
        <f t="shared" si="102"/>
        <v>200</v>
      </c>
      <c r="T454" t="str">
        <f t="shared" si="103"/>
        <v>C3500</v>
      </c>
      <c r="V454">
        <v>452</v>
      </c>
      <c r="W454">
        <f t="shared" si="108"/>
        <v>320</v>
      </c>
      <c r="X454">
        <f t="shared" si="110"/>
        <v>4520</v>
      </c>
      <c r="Y454">
        <f t="shared" si="109"/>
        <v>60</v>
      </c>
      <c r="Z454" s="4">
        <f t="shared" si="107"/>
        <v>2666666.6666666665</v>
      </c>
      <c r="AA454" s="3">
        <f t="shared" si="107"/>
        <v>60</v>
      </c>
      <c r="AB454" t="str">
        <f t="shared" si="105"/>
        <v>28B0AA</v>
      </c>
    </row>
    <row r="455" spans="14:28">
      <c r="N455">
        <v>453</v>
      </c>
      <c r="O455">
        <f t="shared" si="111"/>
        <v>530</v>
      </c>
      <c r="P455">
        <f t="shared" si="99"/>
        <v>4530</v>
      </c>
      <c r="Q455">
        <f t="shared" si="100"/>
        <v>200</v>
      </c>
      <c r="R455" s="4">
        <f t="shared" si="101"/>
        <v>800000</v>
      </c>
      <c r="S455" s="3">
        <f t="shared" si="102"/>
        <v>200</v>
      </c>
      <c r="T455" t="str">
        <f t="shared" si="103"/>
        <v>C3500</v>
      </c>
      <c r="V455">
        <v>453</v>
      </c>
      <c r="W455">
        <f t="shared" si="108"/>
        <v>330</v>
      </c>
      <c r="X455">
        <f t="shared" si="110"/>
        <v>4530</v>
      </c>
      <c r="Y455">
        <f t="shared" si="109"/>
        <v>60</v>
      </c>
      <c r="Z455" s="4">
        <f t="shared" si="107"/>
        <v>2666666.6666666665</v>
      </c>
      <c r="AA455" s="3">
        <f t="shared" si="107"/>
        <v>60</v>
      </c>
      <c r="AB455" t="str">
        <f t="shared" si="105"/>
        <v>28B0AA</v>
      </c>
    </row>
    <row r="456" spans="14:28">
      <c r="N456">
        <v>454</v>
      </c>
      <c r="O456">
        <f t="shared" si="111"/>
        <v>540</v>
      </c>
      <c r="P456">
        <f t="shared" si="99"/>
        <v>4540</v>
      </c>
      <c r="Q456">
        <f t="shared" si="100"/>
        <v>200</v>
      </c>
      <c r="R456" s="4">
        <f t="shared" si="101"/>
        <v>800000</v>
      </c>
      <c r="S456" s="3">
        <f t="shared" si="102"/>
        <v>200</v>
      </c>
      <c r="T456" t="str">
        <f t="shared" si="103"/>
        <v>C3500</v>
      </c>
      <c r="V456">
        <v>454</v>
      </c>
      <c r="W456">
        <f t="shared" si="108"/>
        <v>340</v>
      </c>
      <c r="X456">
        <f t="shared" si="110"/>
        <v>4540</v>
      </c>
      <c r="Y456">
        <f t="shared" si="109"/>
        <v>60</v>
      </c>
      <c r="Z456" s="4">
        <f t="shared" si="107"/>
        <v>2666666.6666666665</v>
      </c>
      <c r="AA456" s="3">
        <f t="shared" si="107"/>
        <v>60</v>
      </c>
      <c r="AB456" t="str">
        <f t="shared" si="105"/>
        <v>28B0AA</v>
      </c>
    </row>
    <row r="457" spans="14:28">
      <c r="N457">
        <v>455</v>
      </c>
      <c r="O457">
        <f t="shared" si="111"/>
        <v>550</v>
      </c>
      <c r="P457">
        <f t="shared" si="99"/>
        <v>4550</v>
      </c>
      <c r="Q457">
        <f t="shared" si="100"/>
        <v>200</v>
      </c>
      <c r="R457" s="4">
        <f t="shared" si="101"/>
        <v>800000</v>
      </c>
      <c r="S457" s="3">
        <f t="shared" si="102"/>
        <v>200</v>
      </c>
      <c r="T457" t="str">
        <f t="shared" si="103"/>
        <v>C3500</v>
      </c>
      <c r="V457">
        <v>455</v>
      </c>
      <c r="W457">
        <f t="shared" si="108"/>
        <v>350</v>
      </c>
      <c r="X457">
        <f t="shared" si="110"/>
        <v>4550</v>
      </c>
      <c r="Y457">
        <f t="shared" si="109"/>
        <v>60</v>
      </c>
      <c r="Z457" s="4">
        <f t="shared" si="107"/>
        <v>2666666.6666666665</v>
      </c>
      <c r="AA457" s="3">
        <f t="shared" si="107"/>
        <v>60</v>
      </c>
      <c r="AB457" t="str">
        <f t="shared" si="105"/>
        <v>28B0AA</v>
      </c>
    </row>
    <row r="458" spans="14:28">
      <c r="N458">
        <v>456</v>
      </c>
      <c r="O458">
        <f t="shared" si="111"/>
        <v>560</v>
      </c>
      <c r="P458">
        <f t="shared" si="99"/>
        <v>4560</v>
      </c>
      <c r="Q458">
        <f t="shared" si="100"/>
        <v>200</v>
      </c>
      <c r="R458" s="4">
        <f t="shared" si="101"/>
        <v>800000</v>
      </c>
      <c r="S458" s="3">
        <f t="shared" si="102"/>
        <v>200</v>
      </c>
      <c r="T458" t="str">
        <f t="shared" si="103"/>
        <v>C3500</v>
      </c>
      <c r="V458">
        <v>456</v>
      </c>
      <c r="W458">
        <f t="shared" si="108"/>
        <v>360</v>
      </c>
      <c r="X458">
        <f t="shared" si="110"/>
        <v>4560</v>
      </c>
      <c r="Y458">
        <f t="shared" si="109"/>
        <v>60</v>
      </c>
      <c r="Z458" s="4">
        <f t="shared" si="107"/>
        <v>2666666.6666666665</v>
      </c>
      <c r="AA458" s="3">
        <f t="shared" si="107"/>
        <v>60</v>
      </c>
      <c r="AB458" t="str">
        <f t="shared" si="105"/>
        <v>28B0AA</v>
      </c>
    </row>
    <row r="459" spans="14:28">
      <c r="N459">
        <v>457</v>
      </c>
      <c r="O459">
        <f t="shared" si="111"/>
        <v>570</v>
      </c>
      <c r="P459">
        <f t="shared" ref="P459:P522" si="112">N459*10</f>
        <v>4570</v>
      </c>
      <c r="Q459">
        <f t="shared" ref="Q459:Q522" si="113">IF(O459&gt;$A$5,0,IF(O459&lt;$A$4,O459/($A$4)*($A$2-$A$3)+$A$3,IF($A$5-O459&lt;$A$4,($A$5-O459)/($A$4)*($A$2-$A$3)+$A$3,$A$2)))</f>
        <v>200</v>
      </c>
      <c r="R459" s="4">
        <f t="shared" ref="R459:R522" si="114">IFERROR(160*1000*1000/Q459,0)</f>
        <v>800000</v>
      </c>
      <c r="S459" s="3">
        <f t="shared" ref="S459:S522" si="115">IFERROR(160*1000*1000/R459,0)</f>
        <v>200</v>
      </c>
      <c r="T459" t="str">
        <f t="shared" ref="T459:T522" si="116">DEC2HEX(R459)</f>
        <v>C3500</v>
      </c>
      <c r="V459">
        <v>457</v>
      </c>
      <c r="W459">
        <f t="shared" si="108"/>
        <v>370</v>
      </c>
      <c r="X459">
        <f t="shared" si="110"/>
        <v>4570</v>
      </c>
      <c r="Y459">
        <f t="shared" si="109"/>
        <v>60</v>
      </c>
      <c r="Z459" s="4">
        <f t="shared" ref="Z459:AA478" si="117">IFERROR(160*1000*1000/Y459,0)</f>
        <v>2666666.6666666665</v>
      </c>
      <c r="AA459" s="3">
        <f t="shared" si="117"/>
        <v>60</v>
      </c>
      <c r="AB459" t="str">
        <f t="shared" si="105"/>
        <v>28B0AA</v>
      </c>
    </row>
    <row r="460" spans="14:28">
      <c r="N460">
        <v>458</v>
      </c>
      <c r="O460">
        <f t="shared" si="111"/>
        <v>580</v>
      </c>
      <c r="P460">
        <f t="shared" si="112"/>
        <v>4580</v>
      </c>
      <c r="Q460">
        <f t="shared" si="113"/>
        <v>200</v>
      </c>
      <c r="R460" s="4">
        <f t="shared" si="114"/>
        <v>800000</v>
      </c>
      <c r="S460" s="3">
        <f t="shared" si="115"/>
        <v>200</v>
      </c>
      <c r="T460" t="str">
        <f t="shared" si="116"/>
        <v>C3500</v>
      </c>
      <c r="V460">
        <v>458</v>
      </c>
      <c r="W460">
        <f t="shared" si="108"/>
        <v>380</v>
      </c>
      <c r="X460">
        <f t="shared" si="110"/>
        <v>4580</v>
      </c>
      <c r="Y460">
        <f t="shared" si="109"/>
        <v>60</v>
      </c>
      <c r="Z460" s="4">
        <f t="shared" si="117"/>
        <v>2666666.6666666665</v>
      </c>
      <c r="AA460" s="3">
        <f t="shared" si="117"/>
        <v>60</v>
      </c>
      <c r="AB460" t="str">
        <f t="shared" si="105"/>
        <v>28B0AA</v>
      </c>
    </row>
    <row r="461" spans="14:28">
      <c r="N461">
        <v>459</v>
      </c>
      <c r="O461">
        <f t="shared" si="111"/>
        <v>590</v>
      </c>
      <c r="P461">
        <f t="shared" si="112"/>
        <v>4590</v>
      </c>
      <c r="Q461">
        <f t="shared" si="113"/>
        <v>200</v>
      </c>
      <c r="R461" s="4">
        <f t="shared" si="114"/>
        <v>800000</v>
      </c>
      <c r="S461" s="3">
        <f t="shared" si="115"/>
        <v>200</v>
      </c>
      <c r="T461" t="str">
        <f t="shared" si="116"/>
        <v>C3500</v>
      </c>
      <c r="V461">
        <v>459</v>
      </c>
      <c r="W461">
        <f t="shared" si="108"/>
        <v>390</v>
      </c>
      <c r="X461">
        <f t="shared" si="110"/>
        <v>4590</v>
      </c>
      <c r="Y461">
        <f t="shared" si="109"/>
        <v>60</v>
      </c>
      <c r="Z461" s="4">
        <f t="shared" si="117"/>
        <v>2666666.6666666665</v>
      </c>
      <c r="AA461" s="3">
        <f t="shared" si="117"/>
        <v>60</v>
      </c>
      <c r="AB461" t="str">
        <f t="shared" si="105"/>
        <v>28B0AA</v>
      </c>
    </row>
    <row r="462" spans="14:28">
      <c r="N462">
        <v>460</v>
      </c>
      <c r="O462">
        <f t="shared" si="111"/>
        <v>600</v>
      </c>
      <c r="P462">
        <f t="shared" si="112"/>
        <v>4600</v>
      </c>
      <c r="Q462">
        <f t="shared" si="113"/>
        <v>200</v>
      </c>
      <c r="R462" s="4">
        <f t="shared" si="114"/>
        <v>800000</v>
      </c>
      <c r="S462" s="3">
        <f t="shared" si="115"/>
        <v>200</v>
      </c>
      <c r="T462" t="str">
        <f t="shared" si="116"/>
        <v>C3500</v>
      </c>
      <c r="V462">
        <v>460</v>
      </c>
      <c r="W462">
        <f t="shared" si="108"/>
        <v>400</v>
      </c>
      <c r="X462">
        <f t="shared" si="110"/>
        <v>4600</v>
      </c>
      <c r="Y462">
        <f t="shared" si="109"/>
        <v>60</v>
      </c>
      <c r="Z462" s="4">
        <f t="shared" si="117"/>
        <v>2666666.6666666665</v>
      </c>
      <c r="AA462" s="3">
        <f t="shared" si="117"/>
        <v>60</v>
      </c>
      <c r="AB462" t="str">
        <f t="shared" si="105"/>
        <v>28B0AA</v>
      </c>
    </row>
    <row r="463" spans="14:28">
      <c r="N463">
        <v>461</v>
      </c>
      <c r="O463">
        <f t="shared" si="111"/>
        <v>610</v>
      </c>
      <c r="P463">
        <f t="shared" si="112"/>
        <v>4610</v>
      </c>
      <c r="Q463">
        <f t="shared" si="113"/>
        <v>200</v>
      </c>
      <c r="R463" s="4">
        <f t="shared" si="114"/>
        <v>800000</v>
      </c>
      <c r="S463" s="3">
        <f t="shared" si="115"/>
        <v>200</v>
      </c>
      <c r="T463" t="str">
        <f t="shared" si="116"/>
        <v>C3500</v>
      </c>
      <c r="V463">
        <v>461</v>
      </c>
      <c r="W463">
        <f t="shared" si="108"/>
        <v>410</v>
      </c>
      <c r="X463">
        <f t="shared" si="110"/>
        <v>4610</v>
      </c>
      <c r="Y463">
        <f t="shared" si="109"/>
        <v>60</v>
      </c>
      <c r="Z463" s="4">
        <f t="shared" si="117"/>
        <v>2666666.6666666665</v>
      </c>
      <c r="AA463" s="3">
        <f t="shared" si="117"/>
        <v>60</v>
      </c>
      <c r="AB463" t="str">
        <f t="shared" si="105"/>
        <v>28B0AA</v>
      </c>
    </row>
    <row r="464" spans="14:28">
      <c r="N464">
        <v>462</v>
      </c>
      <c r="O464">
        <f t="shared" si="111"/>
        <v>620</v>
      </c>
      <c r="P464">
        <f t="shared" si="112"/>
        <v>4620</v>
      </c>
      <c r="Q464">
        <f t="shared" si="113"/>
        <v>200</v>
      </c>
      <c r="R464" s="4">
        <f t="shared" si="114"/>
        <v>800000</v>
      </c>
      <c r="S464" s="3">
        <f t="shared" si="115"/>
        <v>200</v>
      </c>
      <c r="T464" t="str">
        <f t="shared" si="116"/>
        <v>C3500</v>
      </c>
      <c r="V464">
        <v>462</v>
      </c>
      <c r="W464">
        <f t="shared" si="108"/>
        <v>420</v>
      </c>
      <c r="X464">
        <f t="shared" si="110"/>
        <v>4620</v>
      </c>
      <c r="Y464">
        <f t="shared" si="109"/>
        <v>60</v>
      </c>
      <c r="Z464" s="4">
        <f t="shared" si="117"/>
        <v>2666666.6666666665</v>
      </c>
      <c r="AA464" s="3">
        <f t="shared" si="117"/>
        <v>60</v>
      </c>
      <c r="AB464" t="str">
        <f t="shared" si="105"/>
        <v>28B0AA</v>
      </c>
    </row>
    <row r="465" spans="14:28">
      <c r="N465">
        <v>463</v>
      </c>
      <c r="O465">
        <f t="shared" si="111"/>
        <v>630</v>
      </c>
      <c r="P465">
        <f t="shared" si="112"/>
        <v>4630</v>
      </c>
      <c r="Q465">
        <f t="shared" si="113"/>
        <v>200</v>
      </c>
      <c r="R465" s="4">
        <f t="shared" si="114"/>
        <v>800000</v>
      </c>
      <c r="S465" s="3">
        <f t="shared" si="115"/>
        <v>200</v>
      </c>
      <c r="T465" t="str">
        <f t="shared" si="116"/>
        <v>C3500</v>
      </c>
      <c r="V465">
        <v>463</v>
      </c>
      <c r="W465">
        <f t="shared" si="108"/>
        <v>430</v>
      </c>
      <c r="X465">
        <f t="shared" si="110"/>
        <v>4630</v>
      </c>
      <c r="Y465">
        <f t="shared" si="109"/>
        <v>60</v>
      </c>
      <c r="Z465" s="4">
        <f t="shared" si="117"/>
        <v>2666666.6666666665</v>
      </c>
      <c r="AA465" s="3">
        <f t="shared" si="117"/>
        <v>60</v>
      </c>
      <c r="AB465" t="str">
        <f t="shared" si="105"/>
        <v>28B0AA</v>
      </c>
    </row>
    <row r="466" spans="14:28">
      <c r="N466">
        <v>464</v>
      </c>
      <c r="O466">
        <f t="shared" si="111"/>
        <v>640</v>
      </c>
      <c r="P466">
        <f t="shared" si="112"/>
        <v>4640</v>
      </c>
      <c r="Q466">
        <f t="shared" si="113"/>
        <v>200</v>
      </c>
      <c r="R466" s="4">
        <f t="shared" si="114"/>
        <v>800000</v>
      </c>
      <c r="S466" s="3">
        <f t="shared" si="115"/>
        <v>200</v>
      </c>
      <c r="T466" t="str">
        <f t="shared" si="116"/>
        <v>C3500</v>
      </c>
      <c r="V466">
        <v>464</v>
      </c>
      <c r="W466">
        <f t="shared" si="108"/>
        <v>440</v>
      </c>
      <c r="X466">
        <f t="shared" si="110"/>
        <v>4640</v>
      </c>
      <c r="Y466">
        <f t="shared" si="109"/>
        <v>60</v>
      </c>
      <c r="Z466" s="4">
        <f t="shared" si="117"/>
        <v>2666666.6666666665</v>
      </c>
      <c r="AA466" s="3">
        <f t="shared" si="117"/>
        <v>60</v>
      </c>
      <c r="AB466" t="str">
        <f t="shared" si="105"/>
        <v>28B0AA</v>
      </c>
    </row>
    <row r="467" spans="14:28">
      <c r="N467">
        <v>465</v>
      </c>
      <c r="O467">
        <f t="shared" si="111"/>
        <v>650</v>
      </c>
      <c r="P467">
        <f t="shared" si="112"/>
        <v>4650</v>
      </c>
      <c r="Q467">
        <f t="shared" si="113"/>
        <v>200</v>
      </c>
      <c r="R467" s="4">
        <f t="shared" si="114"/>
        <v>800000</v>
      </c>
      <c r="S467" s="3">
        <f t="shared" si="115"/>
        <v>200</v>
      </c>
      <c r="T467" t="str">
        <f t="shared" si="116"/>
        <v>C3500</v>
      </c>
      <c r="V467">
        <v>465</v>
      </c>
      <c r="W467">
        <f t="shared" si="108"/>
        <v>450</v>
      </c>
      <c r="X467">
        <f t="shared" si="110"/>
        <v>4650</v>
      </c>
      <c r="Y467">
        <f t="shared" si="109"/>
        <v>60</v>
      </c>
      <c r="Z467" s="4">
        <f t="shared" si="117"/>
        <v>2666666.6666666665</v>
      </c>
      <c r="AA467" s="3">
        <f t="shared" si="117"/>
        <v>60</v>
      </c>
      <c r="AB467" t="str">
        <f t="shared" si="105"/>
        <v>28B0AA</v>
      </c>
    </row>
    <row r="468" spans="14:28">
      <c r="N468">
        <v>466</v>
      </c>
      <c r="O468">
        <f t="shared" si="111"/>
        <v>660</v>
      </c>
      <c r="P468">
        <f t="shared" si="112"/>
        <v>4660</v>
      </c>
      <c r="Q468">
        <f t="shared" si="113"/>
        <v>200</v>
      </c>
      <c r="R468" s="4">
        <f t="shared" si="114"/>
        <v>800000</v>
      </c>
      <c r="S468" s="3">
        <f t="shared" si="115"/>
        <v>200</v>
      </c>
      <c r="T468" t="str">
        <f t="shared" si="116"/>
        <v>C3500</v>
      </c>
      <c r="V468">
        <v>466</v>
      </c>
      <c r="W468">
        <f t="shared" si="108"/>
        <v>460</v>
      </c>
      <c r="X468">
        <f t="shared" si="110"/>
        <v>4660</v>
      </c>
      <c r="Y468">
        <f t="shared" si="109"/>
        <v>60</v>
      </c>
      <c r="Z468" s="4">
        <f t="shared" si="117"/>
        <v>2666666.6666666665</v>
      </c>
      <c r="AA468" s="3">
        <f t="shared" si="117"/>
        <v>60</v>
      </c>
      <c r="AB468" t="str">
        <f t="shared" si="105"/>
        <v>28B0AA</v>
      </c>
    </row>
    <row r="469" spans="14:28">
      <c r="N469">
        <v>467</v>
      </c>
      <c r="O469">
        <f t="shared" si="111"/>
        <v>670</v>
      </c>
      <c r="P469">
        <f t="shared" si="112"/>
        <v>4670</v>
      </c>
      <c r="Q469">
        <f t="shared" si="113"/>
        <v>200</v>
      </c>
      <c r="R469" s="4">
        <f t="shared" si="114"/>
        <v>800000</v>
      </c>
      <c r="S469" s="3">
        <f t="shared" si="115"/>
        <v>200</v>
      </c>
      <c r="T469" t="str">
        <f t="shared" si="116"/>
        <v>C3500</v>
      </c>
      <c r="V469">
        <v>467</v>
      </c>
      <c r="W469">
        <f t="shared" si="108"/>
        <v>470</v>
      </c>
      <c r="X469">
        <f t="shared" si="110"/>
        <v>4670</v>
      </c>
      <c r="Y469">
        <f t="shared" si="109"/>
        <v>60</v>
      </c>
      <c r="Z469" s="4">
        <f t="shared" si="117"/>
        <v>2666666.6666666665</v>
      </c>
      <c r="AA469" s="3">
        <f t="shared" si="117"/>
        <v>60</v>
      </c>
      <c r="AB469" t="str">
        <f t="shared" si="105"/>
        <v>28B0AA</v>
      </c>
    </row>
    <row r="470" spans="14:28">
      <c r="N470">
        <v>468</v>
      </c>
      <c r="O470">
        <f t="shared" si="111"/>
        <v>680</v>
      </c>
      <c r="P470">
        <f t="shared" si="112"/>
        <v>4680</v>
      </c>
      <c r="Q470">
        <f t="shared" si="113"/>
        <v>200</v>
      </c>
      <c r="R470" s="4">
        <f t="shared" si="114"/>
        <v>800000</v>
      </c>
      <c r="S470" s="3">
        <f t="shared" si="115"/>
        <v>200</v>
      </c>
      <c r="T470" t="str">
        <f t="shared" si="116"/>
        <v>C3500</v>
      </c>
      <c r="V470">
        <v>468</v>
      </c>
      <c r="W470">
        <f t="shared" si="108"/>
        <v>480</v>
      </c>
      <c r="X470">
        <f t="shared" si="110"/>
        <v>4680</v>
      </c>
      <c r="Y470">
        <f t="shared" si="109"/>
        <v>60</v>
      </c>
      <c r="Z470" s="4">
        <f t="shared" si="117"/>
        <v>2666666.6666666665</v>
      </c>
      <c r="AA470" s="3">
        <f t="shared" si="117"/>
        <v>60</v>
      </c>
      <c r="AB470" t="str">
        <f t="shared" si="105"/>
        <v>28B0AA</v>
      </c>
    </row>
    <row r="471" spans="14:28">
      <c r="N471">
        <v>469</v>
      </c>
      <c r="O471">
        <f t="shared" si="111"/>
        <v>690</v>
      </c>
      <c r="P471">
        <f t="shared" si="112"/>
        <v>4690</v>
      </c>
      <c r="Q471">
        <f t="shared" si="113"/>
        <v>200</v>
      </c>
      <c r="R471" s="4">
        <f t="shared" si="114"/>
        <v>800000</v>
      </c>
      <c r="S471" s="3">
        <f t="shared" si="115"/>
        <v>200</v>
      </c>
      <c r="T471" t="str">
        <f t="shared" si="116"/>
        <v>C3500</v>
      </c>
      <c r="V471">
        <v>469</v>
      </c>
      <c r="W471">
        <f t="shared" si="108"/>
        <v>490</v>
      </c>
      <c r="X471">
        <f t="shared" si="110"/>
        <v>4690</v>
      </c>
      <c r="Y471">
        <f t="shared" si="109"/>
        <v>60</v>
      </c>
      <c r="Z471" s="4">
        <f t="shared" si="117"/>
        <v>2666666.6666666665</v>
      </c>
      <c r="AA471" s="3">
        <f t="shared" si="117"/>
        <v>60</v>
      </c>
      <c r="AB471" t="str">
        <f t="shared" si="105"/>
        <v>28B0AA</v>
      </c>
    </row>
    <row r="472" spans="14:28">
      <c r="N472">
        <v>470</v>
      </c>
      <c r="O472">
        <f t="shared" si="111"/>
        <v>700</v>
      </c>
      <c r="P472">
        <f t="shared" si="112"/>
        <v>4700</v>
      </c>
      <c r="Q472">
        <f t="shared" si="113"/>
        <v>200</v>
      </c>
      <c r="R472" s="4">
        <f t="shared" si="114"/>
        <v>800000</v>
      </c>
      <c r="S472" s="3">
        <f t="shared" si="115"/>
        <v>200</v>
      </c>
      <c r="T472" t="str">
        <f t="shared" si="116"/>
        <v>C3500</v>
      </c>
      <c r="V472">
        <v>470</v>
      </c>
      <c r="W472">
        <f t="shared" si="108"/>
        <v>500</v>
      </c>
      <c r="X472">
        <f t="shared" si="110"/>
        <v>4700</v>
      </c>
      <c r="Y472">
        <f t="shared" si="109"/>
        <v>60</v>
      </c>
      <c r="Z472" s="4">
        <f t="shared" si="117"/>
        <v>2666666.6666666665</v>
      </c>
      <c r="AA472" s="3">
        <f t="shared" si="117"/>
        <v>60</v>
      </c>
      <c r="AB472" t="str">
        <f t="shared" si="105"/>
        <v>28B0AA</v>
      </c>
    </row>
    <row r="473" spans="14:28">
      <c r="N473">
        <v>471</v>
      </c>
      <c r="O473">
        <f t="shared" si="111"/>
        <v>710</v>
      </c>
      <c r="P473">
        <f t="shared" si="112"/>
        <v>4710</v>
      </c>
      <c r="Q473">
        <f t="shared" si="113"/>
        <v>200</v>
      </c>
      <c r="R473" s="4">
        <f t="shared" si="114"/>
        <v>800000</v>
      </c>
      <c r="S473" s="3">
        <f t="shared" si="115"/>
        <v>200</v>
      </c>
      <c r="T473" t="str">
        <f t="shared" si="116"/>
        <v>C3500</v>
      </c>
      <c r="V473">
        <v>471</v>
      </c>
      <c r="W473">
        <f t="shared" si="108"/>
        <v>510</v>
      </c>
      <c r="X473">
        <f t="shared" si="110"/>
        <v>4710</v>
      </c>
      <c r="Y473">
        <f t="shared" si="109"/>
        <v>60</v>
      </c>
      <c r="Z473" s="4">
        <f t="shared" si="117"/>
        <v>2666666.6666666665</v>
      </c>
      <c r="AA473" s="3">
        <f t="shared" si="117"/>
        <v>60</v>
      </c>
      <c r="AB473" t="str">
        <f t="shared" si="105"/>
        <v>28B0AA</v>
      </c>
    </row>
    <row r="474" spans="14:28">
      <c r="N474">
        <v>472</v>
      </c>
      <c r="O474">
        <f t="shared" si="111"/>
        <v>720</v>
      </c>
      <c r="P474">
        <f t="shared" si="112"/>
        <v>4720</v>
      </c>
      <c r="Q474">
        <f t="shared" si="113"/>
        <v>200</v>
      </c>
      <c r="R474" s="4">
        <f t="shared" si="114"/>
        <v>800000</v>
      </c>
      <c r="S474" s="3">
        <f t="shared" si="115"/>
        <v>200</v>
      </c>
      <c r="T474" t="str">
        <f t="shared" si="116"/>
        <v>C3500</v>
      </c>
      <c r="V474">
        <v>472</v>
      </c>
      <c r="W474">
        <f t="shared" si="108"/>
        <v>520</v>
      </c>
      <c r="X474">
        <f t="shared" si="110"/>
        <v>4720</v>
      </c>
      <c r="Y474">
        <f t="shared" si="109"/>
        <v>60</v>
      </c>
      <c r="Z474" s="4">
        <f t="shared" si="117"/>
        <v>2666666.6666666665</v>
      </c>
      <c r="AA474" s="3">
        <f t="shared" si="117"/>
        <v>60</v>
      </c>
      <c r="AB474" t="str">
        <f t="shared" si="105"/>
        <v>28B0AA</v>
      </c>
    </row>
    <row r="475" spans="14:28">
      <c r="N475">
        <v>473</v>
      </c>
      <c r="O475">
        <f t="shared" si="111"/>
        <v>730</v>
      </c>
      <c r="P475">
        <f t="shared" si="112"/>
        <v>4730</v>
      </c>
      <c r="Q475">
        <f t="shared" si="113"/>
        <v>200</v>
      </c>
      <c r="R475" s="4">
        <f t="shared" si="114"/>
        <v>800000</v>
      </c>
      <c r="S475" s="3">
        <f t="shared" si="115"/>
        <v>200</v>
      </c>
      <c r="T475" t="str">
        <f t="shared" si="116"/>
        <v>C3500</v>
      </c>
      <c r="V475">
        <v>473</v>
      </c>
      <c r="W475">
        <f t="shared" si="108"/>
        <v>530</v>
      </c>
      <c r="X475">
        <f t="shared" si="110"/>
        <v>4730</v>
      </c>
      <c r="Y475">
        <f t="shared" si="109"/>
        <v>60</v>
      </c>
      <c r="Z475" s="4">
        <f t="shared" si="117"/>
        <v>2666666.6666666665</v>
      </c>
      <c r="AA475" s="3">
        <f t="shared" si="117"/>
        <v>60</v>
      </c>
      <c r="AB475" t="str">
        <f t="shared" si="105"/>
        <v>28B0AA</v>
      </c>
    </row>
    <row r="476" spans="14:28">
      <c r="N476">
        <v>474</v>
      </c>
      <c r="O476">
        <f t="shared" si="111"/>
        <v>740</v>
      </c>
      <c r="P476">
        <f t="shared" si="112"/>
        <v>4740</v>
      </c>
      <c r="Q476">
        <f t="shared" si="113"/>
        <v>200</v>
      </c>
      <c r="R476" s="4">
        <f t="shared" si="114"/>
        <v>800000</v>
      </c>
      <c r="S476" s="3">
        <f t="shared" si="115"/>
        <v>200</v>
      </c>
      <c r="T476" t="str">
        <f t="shared" si="116"/>
        <v>C3500</v>
      </c>
      <c r="V476">
        <v>474</v>
      </c>
      <c r="W476">
        <f t="shared" si="108"/>
        <v>540</v>
      </c>
      <c r="X476">
        <f t="shared" si="110"/>
        <v>4740</v>
      </c>
      <c r="Y476">
        <f t="shared" si="109"/>
        <v>60</v>
      </c>
      <c r="Z476" s="4">
        <f t="shared" si="117"/>
        <v>2666666.6666666665</v>
      </c>
      <c r="AA476" s="3">
        <f t="shared" si="117"/>
        <v>60</v>
      </c>
      <c r="AB476" t="str">
        <f t="shared" si="105"/>
        <v>28B0AA</v>
      </c>
    </row>
    <row r="477" spans="14:28">
      <c r="N477">
        <v>475</v>
      </c>
      <c r="O477">
        <f t="shared" si="111"/>
        <v>750</v>
      </c>
      <c r="P477">
        <f t="shared" si="112"/>
        <v>4750</v>
      </c>
      <c r="Q477">
        <f t="shared" si="113"/>
        <v>200</v>
      </c>
      <c r="R477" s="4">
        <f t="shared" si="114"/>
        <v>800000</v>
      </c>
      <c r="S477" s="3">
        <f t="shared" si="115"/>
        <v>200</v>
      </c>
      <c r="T477" t="str">
        <f t="shared" si="116"/>
        <v>C3500</v>
      </c>
      <c r="V477">
        <v>475</v>
      </c>
      <c r="W477">
        <f t="shared" si="108"/>
        <v>550</v>
      </c>
      <c r="X477">
        <f t="shared" si="110"/>
        <v>4750</v>
      </c>
      <c r="Y477">
        <f t="shared" si="109"/>
        <v>60</v>
      </c>
      <c r="Z477" s="4">
        <f t="shared" si="117"/>
        <v>2666666.6666666665</v>
      </c>
      <c r="AA477" s="3">
        <f t="shared" si="117"/>
        <v>60</v>
      </c>
      <c r="AB477" t="str">
        <f t="shared" si="105"/>
        <v>28B0AA</v>
      </c>
    </row>
    <row r="478" spans="14:28">
      <c r="N478">
        <v>476</v>
      </c>
      <c r="O478">
        <f t="shared" si="111"/>
        <v>760</v>
      </c>
      <c r="P478">
        <f t="shared" si="112"/>
        <v>4760</v>
      </c>
      <c r="Q478">
        <f t="shared" si="113"/>
        <v>200</v>
      </c>
      <c r="R478" s="4">
        <f t="shared" si="114"/>
        <v>800000</v>
      </c>
      <c r="S478" s="3">
        <f t="shared" si="115"/>
        <v>200</v>
      </c>
      <c r="T478" t="str">
        <f t="shared" si="116"/>
        <v>C3500</v>
      </c>
      <c r="V478">
        <v>476</v>
      </c>
      <c r="W478">
        <f t="shared" si="108"/>
        <v>560</v>
      </c>
      <c r="X478">
        <f t="shared" si="110"/>
        <v>4760</v>
      </c>
      <c r="Y478">
        <f t="shared" si="109"/>
        <v>60</v>
      </c>
      <c r="Z478" s="4">
        <f t="shared" si="117"/>
        <v>2666666.6666666665</v>
      </c>
      <c r="AA478" s="3">
        <f t="shared" si="117"/>
        <v>60</v>
      </c>
      <c r="AB478" t="str">
        <f t="shared" si="105"/>
        <v>28B0AA</v>
      </c>
    </row>
    <row r="479" spans="14:28">
      <c r="N479">
        <v>477</v>
      </c>
      <c r="O479">
        <f t="shared" si="111"/>
        <v>770</v>
      </c>
      <c r="P479">
        <f t="shared" si="112"/>
        <v>4770</v>
      </c>
      <c r="Q479">
        <f t="shared" si="113"/>
        <v>200</v>
      </c>
      <c r="R479" s="4">
        <f t="shared" si="114"/>
        <v>800000</v>
      </c>
      <c r="S479" s="3">
        <f t="shared" si="115"/>
        <v>200</v>
      </c>
      <c r="T479" t="str">
        <f t="shared" si="116"/>
        <v>C3500</v>
      </c>
      <c r="V479">
        <v>477</v>
      </c>
      <c r="W479">
        <f t="shared" si="108"/>
        <v>570</v>
      </c>
      <c r="X479">
        <f t="shared" si="110"/>
        <v>4770</v>
      </c>
      <c r="Y479">
        <f t="shared" si="109"/>
        <v>60</v>
      </c>
      <c r="Z479" s="4">
        <f t="shared" ref="Z479:AA498" si="118">IFERROR(160*1000*1000/Y479,0)</f>
        <v>2666666.6666666665</v>
      </c>
      <c r="AA479" s="3">
        <f t="shared" si="118"/>
        <v>60</v>
      </c>
      <c r="AB479" t="str">
        <f t="shared" si="105"/>
        <v>28B0AA</v>
      </c>
    </row>
    <row r="480" spans="14:28">
      <c r="N480">
        <v>478</v>
      </c>
      <c r="O480">
        <f t="shared" si="111"/>
        <v>780</v>
      </c>
      <c r="P480">
        <f t="shared" si="112"/>
        <v>4780</v>
      </c>
      <c r="Q480">
        <f t="shared" si="113"/>
        <v>200</v>
      </c>
      <c r="R480" s="4">
        <f t="shared" si="114"/>
        <v>800000</v>
      </c>
      <c r="S480" s="3">
        <f t="shared" si="115"/>
        <v>200</v>
      </c>
      <c r="T480" t="str">
        <f t="shared" si="116"/>
        <v>C3500</v>
      </c>
      <c r="V480">
        <v>478</v>
      </c>
      <c r="W480">
        <f t="shared" si="108"/>
        <v>580</v>
      </c>
      <c r="X480">
        <f t="shared" si="110"/>
        <v>4780</v>
      </c>
      <c r="Y480">
        <f t="shared" si="109"/>
        <v>60</v>
      </c>
      <c r="Z480" s="4">
        <f t="shared" si="118"/>
        <v>2666666.6666666665</v>
      </c>
      <c r="AA480" s="3">
        <f t="shared" si="118"/>
        <v>60</v>
      </c>
      <c r="AB480" t="str">
        <f t="shared" si="105"/>
        <v>28B0AA</v>
      </c>
    </row>
    <row r="481" spans="14:28">
      <c r="N481">
        <v>479</v>
      </c>
      <c r="O481">
        <f t="shared" si="111"/>
        <v>790</v>
      </c>
      <c r="P481">
        <f t="shared" si="112"/>
        <v>4790</v>
      </c>
      <c r="Q481">
        <f t="shared" si="113"/>
        <v>200</v>
      </c>
      <c r="R481" s="4">
        <f t="shared" si="114"/>
        <v>800000</v>
      </c>
      <c r="S481" s="3">
        <f t="shared" si="115"/>
        <v>200</v>
      </c>
      <c r="T481" t="str">
        <f t="shared" si="116"/>
        <v>C3500</v>
      </c>
      <c r="V481">
        <v>479</v>
      </c>
      <c r="W481">
        <f t="shared" si="108"/>
        <v>590</v>
      </c>
      <c r="X481">
        <f t="shared" si="110"/>
        <v>4790</v>
      </c>
      <c r="Y481">
        <f t="shared" si="109"/>
        <v>60</v>
      </c>
      <c r="Z481" s="4">
        <f t="shared" si="118"/>
        <v>2666666.6666666665</v>
      </c>
      <c r="AA481" s="3">
        <f t="shared" si="118"/>
        <v>60</v>
      </c>
      <c r="AB481" t="str">
        <f t="shared" si="105"/>
        <v>28B0AA</v>
      </c>
    </row>
    <row r="482" spans="14:28">
      <c r="N482">
        <v>480</v>
      </c>
      <c r="O482">
        <f t="shared" si="111"/>
        <v>800</v>
      </c>
      <c r="P482">
        <f t="shared" si="112"/>
        <v>4800</v>
      </c>
      <c r="Q482">
        <f t="shared" si="113"/>
        <v>200</v>
      </c>
      <c r="R482" s="4">
        <f t="shared" si="114"/>
        <v>800000</v>
      </c>
      <c r="S482" s="3">
        <f t="shared" si="115"/>
        <v>200</v>
      </c>
      <c r="T482" t="str">
        <f t="shared" si="116"/>
        <v>C3500</v>
      </c>
      <c r="V482">
        <v>480</v>
      </c>
      <c r="W482">
        <f t="shared" si="108"/>
        <v>600</v>
      </c>
      <c r="X482">
        <f t="shared" si="110"/>
        <v>4800</v>
      </c>
      <c r="Y482">
        <f t="shared" si="109"/>
        <v>60</v>
      </c>
      <c r="Z482" s="4">
        <f t="shared" si="118"/>
        <v>2666666.6666666665</v>
      </c>
      <c r="AA482" s="3">
        <f t="shared" si="118"/>
        <v>60</v>
      </c>
      <c r="AB482" t="str">
        <f t="shared" ref="AB482:AB545" si="119">DEC2HEX(Z482)</f>
        <v>28B0AA</v>
      </c>
    </row>
    <row r="483" spans="14:28">
      <c r="N483">
        <v>481</v>
      </c>
      <c r="O483">
        <f t="shared" si="111"/>
        <v>810</v>
      </c>
      <c r="P483">
        <f t="shared" si="112"/>
        <v>4810</v>
      </c>
      <c r="Q483">
        <f t="shared" si="113"/>
        <v>200</v>
      </c>
      <c r="R483" s="4">
        <f t="shared" si="114"/>
        <v>800000</v>
      </c>
      <c r="S483" s="3">
        <f t="shared" si="115"/>
        <v>200</v>
      </c>
      <c r="T483" t="str">
        <f t="shared" si="116"/>
        <v>C3500</v>
      </c>
      <c r="V483">
        <v>481</v>
      </c>
      <c r="W483">
        <f t="shared" si="108"/>
        <v>610</v>
      </c>
      <c r="X483">
        <f t="shared" si="110"/>
        <v>4810</v>
      </c>
      <c r="Y483">
        <f t="shared" si="109"/>
        <v>60</v>
      </c>
      <c r="Z483" s="4">
        <f t="shared" si="118"/>
        <v>2666666.6666666665</v>
      </c>
      <c r="AA483" s="3">
        <f t="shared" si="118"/>
        <v>60</v>
      </c>
      <c r="AB483" t="str">
        <f t="shared" si="119"/>
        <v>28B0AA</v>
      </c>
    </row>
    <row r="484" spans="14:28">
      <c r="N484">
        <v>482</v>
      </c>
      <c r="O484">
        <f t="shared" si="111"/>
        <v>820</v>
      </c>
      <c r="P484">
        <f t="shared" si="112"/>
        <v>4820</v>
      </c>
      <c r="Q484">
        <f t="shared" si="113"/>
        <v>200</v>
      </c>
      <c r="R484" s="4">
        <f t="shared" si="114"/>
        <v>800000</v>
      </c>
      <c r="S484" s="3">
        <f t="shared" si="115"/>
        <v>200</v>
      </c>
      <c r="T484" t="str">
        <f t="shared" si="116"/>
        <v>C3500</v>
      </c>
      <c r="V484">
        <v>482</v>
      </c>
      <c r="W484">
        <f t="shared" si="108"/>
        <v>620</v>
      </c>
      <c r="X484">
        <f t="shared" si="110"/>
        <v>4820</v>
      </c>
      <c r="Y484">
        <f t="shared" si="109"/>
        <v>60</v>
      </c>
      <c r="Z484" s="4">
        <f t="shared" si="118"/>
        <v>2666666.6666666665</v>
      </c>
      <c r="AA484" s="3">
        <f t="shared" si="118"/>
        <v>60</v>
      </c>
      <c r="AB484" t="str">
        <f t="shared" si="119"/>
        <v>28B0AA</v>
      </c>
    </row>
    <row r="485" spans="14:28">
      <c r="N485">
        <v>483</v>
      </c>
      <c r="O485">
        <f t="shared" si="111"/>
        <v>830</v>
      </c>
      <c r="P485">
        <f t="shared" si="112"/>
        <v>4830</v>
      </c>
      <c r="Q485">
        <f t="shared" si="113"/>
        <v>200</v>
      </c>
      <c r="R485" s="4">
        <f t="shared" si="114"/>
        <v>800000</v>
      </c>
      <c r="S485" s="3">
        <f t="shared" si="115"/>
        <v>200</v>
      </c>
      <c r="T485" t="str">
        <f t="shared" si="116"/>
        <v>C3500</v>
      </c>
      <c r="V485">
        <v>483</v>
      </c>
      <c r="W485">
        <f t="shared" si="108"/>
        <v>630</v>
      </c>
      <c r="X485">
        <f t="shared" si="110"/>
        <v>4830</v>
      </c>
      <c r="Y485">
        <f t="shared" si="109"/>
        <v>60</v>
      </c>
      <c r="Z485" s="4">
        <f t="shared" si="118"/>
        <v>2666666.6666666665</v>
      </c>
      <c r="AA485" s="3">
        <f t="shared" si="118"/>
        <v>60</v>
      </c>
      <c r="AB485" t="str">
        <f t="shared" si="119"/>
        <v>28B0AA</v>
      </c>
    </row>
    <row r="486" spans="14:28">
      <c r="N486">
        <v>484</v>
      </c>
      <c r="O486">
        <f t="shared" si="111"/>
        <v>840</v>
      </c>
      <c r="P486">
        <f t="shared" si="112"/>
        <v>4840</v>
      </c>
      <c r="Q486">
        <f t="shared" si="113"/>
        <v>200</v>
      </c>
      <c r="R486" s="4">
        <f t="shared" si="114"/>
        <v>800000</v>
      </c>
      <c r="S486" s="3">
        <f t="shared" si="115"/>
        <v>200</v>
      </c>
      <c r="T486" t="str">
        <f t="shared" si="116"/>
        <v>C3500</v>
      </c>
      <c r="V486">
        <v>484</v>
      </c>
      <c r="W486">
        <f t="shared" si="108"/>
        <v>640</v>
      </c>
      <c r="X486">
        <f t="shared" si="110"/>
        <v>4840</v>
      </c>
      <c r="Y486">
        <f t="shared" si="109"/>
        <v>60</v>
      </c>
      <c r="Z486" s="4">
        <f t="shared" si="118"/>
        <v>2666666.6666666665</v>
      </c>
      <c r="AA486" s="3">
        <f t="shared" si="118"/>
        <v>60</v>
      </c>
      <c r="AB486" t="str">
        <f t="shared" si="119"/>
        <v>28B0AA</v>
      </c>
    </row>
    <row r="487" spans="14:28">
      <c r="N487">
        <v>485</v>
      </c>
      <c r="O487">
        <f t="shared" si="111"/>
        <v>850</v>
      </c>
      <c r="P487">
        <f t="shared" si="112"/>
        <v>4850</v>
      </c>
      <c r="Q487">
        <f t="shared" si="113"/>
        <v>200</v>
      </c>
      <c r="R487" s="4">
        <f t="shared" si="114"/>
        <v>800000</v>
      </c>
      <c r="S487" s="3">
        <f t="shared" si="115"/>
        <v>200</v>
      </c>
      <c r="T487" t="str">
        <f t="shared" si="116"/>
        <v>C3500</v>
      </c>
      <c r="V487">
        <v>485</v>
      </c>
      <c r="W487">
        <f t="shared" si="108"/>
        <v>650</v>
      </c>
      <c r="X487">
        <f t="shared" si="110"/>
        <v>4850</v>
      </c>
      <c r="Y487">
        <f t="shared" si="109"/>
        <v>60</v>
      </c>
      <c r="Z487" s="4">
        <f t="shared" si="118"/>
        <v>2666666.6666666665</v>
      </c>
      <c r="AA487" s="3">
        <f t="shared" si="118"/>
        <v>60</v>
      </c>
      <c r="AB487" t="str">
        <f t="shared" si="119"/>
        <v>28B0AA</v>
      </c>
    </row>
    <row r="488" spans="14:28">
      <c r="N488">
        <v>486</v>
      </c>
      <c r="O488">
        <f t="shared" si="111"/>
        <v>860</v>
      </c>
      <c r="P488">
        <f t="shared" si="112"/>
        <v>4860</v>
      </c>
      <c r="Q488">
        <f t="shared" si="113"/>
        <v>200</v>
      </c>
      <c r="R488" s="4">
        <f t="shared" si="114"/>
        <v>800000</v>
      </c>
      <c r="S488" s="3">
        <f t="shared" si="115"/>
        <v>200</v>
      </c>
      <c r="T488" t="str">
        <f t="shared" si="116"/>
        <v>C3500</v>
      </c>
      <c r="V488">
        <v>486</v>
      </c>
      <c r="W488">
        <f t="shared" si="108"/>
        <v>660</v>
      </c>
      <c r="X488">
        <f t="shared" si="110"/>
        <v>4860</v>
      </c>
      <c r="Y488">
        <f t="shared" si="109"/>
        <v>60</v>
      </c>
      <c r="Z488" s="4">
        <f t="shared" si="118"/>
        <v>2666666.6666666665</v>
      </c>
      <c r="AA488" s="3">
        <f t="shared" si="118"/>
        <v>60</v>
      </c>
      <c r="AB488" t="str">
        <f t="shared" si="119"/>
        <v>28B0AA</v>
      </c>
    </row>
    <row r="489" spans="14:28">
      <c r="N489">
        <v>487</v>
      </c>
      <c r="O489">
        <f t="shared" si="111"/>
        <v>870</v>
      </c>
      <c r="P489">
        <f t="shared" si="112"/>
        <v>4870</v>
      </c>
      <c r="Q489">
        <f t="shared" si="113"/>
        <v>200</v>
      </c>
      <c r="R489" s="4">
        <f t="shared" si="114"/>
        <v>800000</v>
      </c>
      <c r="S489" s="3">
        <f t="shared" si="115"/>
        <v>200</v>
      </c>
      <c r="T489" t="str">
        <f t="shared" si="116"/>
        <v>C3500</v>
      </c>
      <c r="V489">
        <v>487</v>
      </c>
      <c r="W489">
        <f t="shared" si="108"/>
        <v>670</v>
      </c>
      <c r="X489">
        <f t="shared" si="110"/>
        <v>4870</v>
      </c>
      <c r="Y489">
        <f t="shared" si="109"/>
        <v>60</v>
      </c>
      <c r="Z489" s="4">
        <f t="shared" si="118"/>
        <v>2666666.6666666665</v>
      </c>
      <c r="AA489" s="3">
        <f t="shared" si="118"/>
        <v>60</v>
      </c>
      <c r="AB489" t="str">
        <f t="shared" si="119"/>
        <v>28B0AA</v>
      </c>
    </row>
    <row r="490" spans="14:28">
      <c r="N490">
        <v>488</v>
      </c>
      <c r="O490">
        <f t="shared" si="111"/>
        <v>880</v>
      </c>
      <c r="P490">
        <f t="shared" si="112"/>
        <v>4880</v>
      </c>
      <c r="Q490">
        <f t="shared" si="113"/>
        <v>200</v>
      </c>
      <c r="R490" s="4">
        <f t="shared" si="114"/>
        <v>800000</v>
      </c>
      <c r="S490" s="3">
        <f t="shared" si="115"/>
        <v>200</v>
      </c>
      <c r="T490" t="str">
        <f t="shared" si="116"/>
        <v>C3500</v>
      </c>
      <c r="V490">
        <v>488</v>
      </c>
      <c r="W490">
        <f t="shared" si="108"/>
        <v>680</v>
      </c>
      <c r="X490">
        <f t="shared" si="110"/>
        <v>4880</v>
      </c>
      <c r="Y490">
        <f t="shared" si="109"/>
        <v>60</v>
      </c>
      <c r="Z490" s="4">
        <f t="shared" si="118"/>
        <v>2666666.6666666665</v>
      </c>
      <c r="AA490" s="3">
        <f t="shared" si="118"/>
        <v>60</v>
      </c>
      <c r="AB490" t="str">
        <f t="shared" si="119"/>
        <v>28B0AA</v>
      </c>
    </row>
    <row r="491" spans="14:28">
      <c r="N491">
        <v>489</v>
      </c>
      <c r="O491">
        <f t="shared" si="111"/>
        <v>890</v>
      </c>
      <c r="P491">
        <f t="shared" si="112"/>
        <v>4890</v>
      </c>
      <c r="Q491">
        <f t="shared" si="113"/>
        <v>200</v>
      </c>
      <c r="R491" s="4">
        <f t="shared" si="114"/>
        <v>800000</v>
      </c>
      <c r="S491" s="3">
        <f t="shared" si="115"/>
        <v>200</v>
      </c>
      <c r="T491" t="str">
        <f t="shared" si="116"/>
        <v>C3500</v>
      </c>
      <c r="V491">
        <v>489</v>
      </c>
      <c r="W491">
        <f t="shared" si="108"/>
        <v>690</v>
      </c>
      <c r="X491">
        <f t="shared" si="110"/>
        <v>4890</v>
      </c>
      <c r="Y491">
        <f t="shared" si="109"/>
        <v>60</v>
      </c>
      <c r="Z491" s="4">
        <f t="shared" si="118"/>
        <v>2666666.6666666665</v>
      </c>
      <c r="AA491" s="3">
        <f t="shared" si="118"/>
        <v>60</v>
      </c>
      <c r="AB491" t="str">
        <f t="shared" si="119"/>
        <v>28B0AA</v>
      </c>
    </row>
    <row r="492" spans="14:28">
      <c r="N492">
        <v>490</v>
      </c>
      <c r="O492">
        <f t="shared" si="111"/>
        <v>900</v>
      </c>
      <c r="P492">
        <f t="shared" si="112"/>
        <v>4900</v>
      </c>
      <c r="Q492">
        <f t="shared" si="113"/>
        <v>200</v>
      </c>
      <c r="R492" s="4">
        <f t="shared" si="114"/>
        <v>800000</v>
      </c>
      <c r="S492" s="3">
        <f t="shared" si="115"/>
        <v>200</v>
      </c>
      <c r="T492" t="str">
        <f t="shared" si="116"/>
        <v>C3500</v>
      </c>
      <c r="V492">
        <v>490</v>
      </c>
      <c r="W492">
        <f t="shared" si="108"/>
        <v>700</v>
      </c>
      <c r="X492">
        <f t="shared" si="110"/>
        <v>4900</v>
      </c>
      <c r="Y492">
        <f t="shared" si="109"/>
        <v>60</v>
      </c>
      <c r="Z492" s="4">
        <f t="shared" si="118"/>
        <v>2666666.6666666665</v>
      </c>
      <c r="AA492" s="3">
        <f t="shared" si="118"/>
        <v>60</v>
      </c>
      <c r="AB492" t="str">
        <f t="shared" si="119"/>
        <v>28B0AA</v>
      </c>
    </row>
    <row r="493" spans="14:28">
      <c r="N493">
        <v>491</v>
      </c>
      <c r="O493">
        <f t="shared" si="111"/>
        <v>910</v>
      </c>
      <c r="P493">
        <f t="shared" si="112"/>
        <v>4910</v>
      </c>
      <c r="Q493">
        <f t="shared" si="113"/>
        <v>200</v>
      </c>
      <c r="R493" s="4">
        <f t="shared" si="114"/>
        <v>800000</v>
      </c>
      <c r="S493" s="3">
        <f t="shared" si="115"/>
        <v>200</v>
      </c>
      <c r="T493" t="str">
        <f t="shared" si="116"/>
        <v>C3500</v>
      </c>
      <c r="V493">
        <v>491</v>
      </c>
      <c r="W493">
        <f t="shared" si="108"/>
        <v>710</v>
      </c>
      <c r="X493">
        <f t="shared" si="110"/>
        <v>4910</v>
      </c>
      <c r="Y493">
        <f t="shared" si="109"/>
        <v>60</v>
      </c>
      <c r="Z493" s="4">
        <f t="shared" si="118"/>
        <v>2666666.6666666665</v>
      </c>
      <c r="AA493" s="3">
        <f t="shared" si="118"/>
        <v>60</v>
      </c>
      <c r="AB493" t="str">
        <f t="shared" si="119"/>
        <v>28B0AA</v>
      </c>
    </row>
    <row r="494" spans="14:28">
      <c r="N494">
        <v>492</v>
      </c>
      <c r="O494">
        <f t="shared" si="111"/>
        <v>920</v>
      </c>
      <c r="P494">
        <f t="shared" si="112"/>
        <v>4920</v>
      </c>
      <c r="Q494">
        <f t="shared" si="113"/>
        <v>200</v>
      </c>
      <c r="R494" s="4">
        <f t="shared" si="114"/>
        <v>800000</v>
      </c>
      <c r="S494" s="3">
        <f t="shared" si="115"/>
        <v>200</v>
      </c>
      <c r="T494" t="str">
        <f t="shared" si="116"/>
        <v>C3500</v>
      </c>
      <c r="V494">
        <v>492</v>
      </c>
      <c r="W494">
        <f t="shared" si="108"/>
        <v>720</v>
      </c>
      <c r="X494">
        <f t="shared" si="110"/>
        <v>4920</v>
      </c>
      <c r="Y494">
        <f t="shared" si="109"/>
        <v>60</v>
      </c>
      <c r="Z494" s="4">
        <f t="shared" si="118"/>
        <v>2666666.6666666665</v>
      </c>
      <c r="AA494" s="3">
        <f t="shared" si="118"/>
        <v>60</v>
      </c>
      <c r="AB494" t="str">
        <f t="shared" si="119"/>
        <v>28B0AA</v>
      </c>
    </row>
    <row r="495" spans="14:28">
      <c r="N495">
        <v>493</v>
      </c>
      <c r="O495">
        <f t="shared" si="111"/>
        <v>930</v>
      </c>
      <c r="P495">
        <f t="shared" si="112"/>
        <v>4930</v>
      </c>
      <c r="Q495">
        <f t="shared" si="113"/>
        <v>200</v>
      </c>
      <c r="R495" s="4">
        <f t="shared" si="114"/>
        <v>800000</v>
      </c>
      <c r="S495" s="3">
        <f t="shared" si="115"/>
        <v>200</v>
      </c>
      <c r="T495" t="str">
        <f t="shared" si="116"/>
        <v>C3500</v>
      </c>
      <c r="V495">
        <v>493</v>
      </c>
      <c r="W495">
        <f t="shared" si="108"/>
        <v>730</v>
      </c>
      <c r="X495">
        <f t="shared" si="110"/>
        <v>4930</v>
      </c>
      <c r="Y495">
        <f t="shared" si="109"/>
        <v>60</v>
      </c>
      <c r="Z495" s="4">
        <f t="shared" si="118"/>
        <v>2666666.6666666665</v>
      </c>
      <c r="AA495" s="3">
        <f t="shared" si="118"/>
        <v>60</v>
      </c>
      <c r="AB495" t="str">
        <f t="shared" si="119"/>
        <v>28B0AA</v>
      </c>
    </row>
    <row r="496" spans="14:28">
      <c r="N496">
        <v>494</v>
      </c>
      <c r="O496">
        <f t="shared" si="111"/>
        <v>940</v>
      </c>
      <c r="P496">
        <f t="shared" si="112"/>
        <v>4940</v>
      </c>
      <c r="Q496">
        <f t="shared" si="113"/>
        <v>200</v>
      </c>
      <c r="R496" s="4">
        <f t="shared" si="114"/>
        <v>800000</v>
      </c>
      <c r="S496" s="3">
        <f t="shared" si="115"/>
        <v>200</v>
      </c>
      <c r="T496" t="str">
        <f t="shared" si="116"/>
        <v>C3500</v>
      </c>
      <c r="V496">
        <v>494</v>
      </c>
      <c r="W496">
        <f t="shared" si="108"/>
        <v>740</v>
      </c>
      <c r="X496">
        <f t="shared" si="110"/>
        <v>4940</v>
      </c>
      <c r="Y496">
        <f t="shared" si="109"/>
        <v>60</v>
      </c>
      <c r="Z496" s="4">
        <f t="shared" si="118"/>
        <v>2666666.6666666665</v>
      </c>
      <c r="AA496" s="3">
        <f t="shared" si="118"/>
        <v>60</v>
      </c>
      <c r="AB496" t="str">
        <f t="shared" si="119"/>
        <v>28B0AA</v>
      </c>
    </row>
    <row r="497" spans="14:28">
      <c r="N497">
        <v>495</v>
      </c>
      <c r="O497">
        <f t="shared" si="111"/>
        <v>950</v>
      </c>
      <c r="P497">
        <f t="shared" si="112"/>
        <v>4950</v>
      </c>
      <c r="Q497">
        <f t="shared" si="113"/>
        <v>200</v>
      </c>
      <c r="R497" s="4">
        <f t="shared" si="114"/>
        <v>800000</v>
      </c>
      <c r="S497" s="3">
        <f t="shared" si="115"/>
        <v>200</v>
      </c>
      <c r="T497" t="str">
        <f t="shared" si="116"/>
        <v>C3500</v>
      </c>
      <c r="V497">
        <v>495</v>
      </c>
      <c r="W497">
        <f t="shared" si="108"/>
        <v>750</v>
      </c>
      <c r="X497">
        <f t="shared" si="110"/>
        <v>4950</v>
      </c>
      <c r="Y497">
        <f t="shared" si="109"/>
        <v>60</v>
      </c>
      <c r="Z497" s="4">
        <f t="shared" si="118"/>
        <v>2666666.6666666665</v>
      </c>
      <c r="AA497" s="3">
        <f t="shared" si="118"/>
        <v>60</v>
      </c>
      <c r="AB497" t="str">
        <f t="shared" si="119"/>
        <v>28B0AA</v>
      </c>
    </row>
    <row r="498" spans="14:28">
      <c r="N498">
        <v>496</v>
      </c>
      <c r="O498">
        <f t="shared" si="111"/>
        <v>960</v>
      </c>
      <c r="P498">
        <f t="shared" si="112"/>
        <v>4960</v>
      </c>
      <c r="Q498">
        <f t="shared" si="113"/>
        <v>200</v>
      </c>
      <c r="R498" s="4">
        <f t="shared" si="114"/>
        <v>800000</v>
      </c>
      <c r="S498" s="3">
        <f t="shared" si="115"/>
        <v>200</v>
      </c>
      <c r="T498" t="str">
        <f t="shared" si="116"/>
        <v>C3500</v>
      </c>
      <c r="V498">
        <v>496</v>
      </c>
      <c r="W498">
        <f t="shared" si="108"/>
        <v>760</v>
      </c>
      <c r="X498">
        <f t="shared" si="110"/>
        <v>4960</v>
      </c>
      <c r="Y498">
        <f t="shared" si="109"/>
        <v>60</v>
      </c>
      <c r="Z498" s="4">
        <f t="shared" si="118"/>
        <v>2666666.6666666665</v>
      </c>
      <c r="AA498" s="3">
        <f t="shared" si="118"/>
        <v>60</v>
      </c>
      <c r="AB498" t="str">
        <f t="shared" si="119"/>
        <v>28B0AA</v>
      </c>
    </row>
    <row r="499" spans="14:28">
      <c r="N499">
        <v>497</v>
      </c>
      <c r="O499">
        <f t="shared" si="111"/>
        <v>970</v>
      </c>
      <c r="P499">
        <f t="shared" si="112"/>
        <v>4970</v>
      </c>
      <c r="Q499">
        <f t="shared" si="113"/>
        <v>200</v>
      </c>
      <c r="R499" s="4">
        <f t="shared" si="114"/>
        <v>800000</v>
      </c>
      <c r="S499" s="3">
        <f t="shared" si="115"/>
        <v>200</v>
      </c>
      <c r="T499" t="str">
        <f t="shared" si="116"/>
        <v>C3500</v>
      </c>
      <c r="V499">
        <v>497</v>
      </c>
      <c r="W499">
        <f t="shared" si="108"/>
        <v>770</v>
      </c>
      <c r="X499">
        <f t="shared" si="110"/>
        <v>4970</v>
      </c>
      <c r="Y499">
        <f t="shared" si="109"/>
        <v>60</v>
      </c>
      <c r="Z499" s="4">
        <f t="shared" ref="Z499:AA518" si="120">IFERROR(160*1000*1000/Y499,0)</f>
        <v>2666666.6666666665</v>
      </c>
      <c r="AA499" s="3">
        <f t="shared" si="120"/>
        <v>60</v>
      </c>
      <c r="AB499" t="str">
        <f t="shared" si="119"/>
        <v>28B0AA</v>
      </c>
    </row>
    <row r="500" spans="14:28">
      <c r="N500">
        <v>498</v>
      </c>
      <c r="O500">
        <f t="shared" si="111"/>
        <v>980</v>
      </c>
      <c r="P500">
        <f t="shared" si="112"/>
        <v>4980</v>
      </c>
      <c r="Q500">
        <f t="shared" si="113"/>
        <v>200</v>
      </c>
      <c r="R500" s="4">
        <f t="shared" si="114"/>
        <v>800000</v>
      </c>
      <c r="S500" s="3">
        <f t="shared" si="115"/>
        <v>200</v>
      </c>
      <c r="T500" t="str">
        <f t="shared" si="116"/>
        <v>C3500</v>
      </c>
      <c r="V500">
        <v>498</v>
      </c>
      <c r="W500">
        <f t="shared" si="108"/>
        <v>780</v>
      </c>
      <c r="X500">
        <f t="shared" si="110"/>
        <v>4980</v>
      </c>
      <c r="Y500">
        <f t="shared" si="109"/>
        <v>60</v>
      </c>
      <c r="Z500" s="4">
        <f t="shared" si="120"/>
        <v>2666666.6666666665</v>
      </c>
      <c r="AA500" s="3">
        <f t="shared" si="120"/>
        <v>60</v>
      </c>
      <c r="AB500" t="str">
        <f t="shared" si="119"/>
        <v>28B0AA</v>
      </c>
    </row>
    <row r="501" spans="14:28">
      <c r="N501">
        <v>499</v>
      </c>
      <c r="O501">
        <f t="shared" si="111"/>
        <v>990</v>
      </c>
      <c r="P501">
        <f t="shared" si="112"/>
        <v>4990</v>
      </c>
      <c r="Q501">
        <f t="shared" si="113"/>
        <v>200</v>
      </c>
      <c r="R501" s="4">
        <f t="shared" si="114"/>
        <v>800000</v>
      </c>
      <c r="S501" s="3">
        <f t="shared" si="115"/>
        <v>200</v>
      </c>
      <c r="T501" t="str">
        <f t="shared" si="116"/>
        <v>C3500</v>
      </c>
      <c r="V501">
        <v>499</v>
      </c>
      <c r="W501">
        <f t="shared" si="108"/>
        <v>790</v>
      </c>
      <c r="X501">
        <f t="shared" si="110"/>
        <v>4990</v>
      </c>
      <c r="Y501">
        <f t="shared" si="109"/>
        <v>60</v>
      </c>
      <c r="Z501" s="4">
        <f t="shared" si="120"/>
        <v>2666666.6666666665</v>
      </c>
      <c r="AA501" s="3">
        <f t="shared" si="120"/>
        <v>60</v>
      </c>
      <c r="AB501" t="str">
        <f t="shared" si="119"/>
        <v>28B0AA</v>
      </c>
    </row>
    <row r="502" spans="14:28">
      <c r="N502">
        <v>500</v>
      </c>
      <c r="O502">
        <f t="shared" si="111"/>
        <v>1000</v>
      </c>
      <c r="P502">
        <f t="shared" si="112"/>
        <v>5000</v>
      </c>
      <c r="Q502">
        <f t="shared" si="113"/>
        <v>200</v>
      </c>
      <c r="R502" s="4">
        <f t="shared" si="114"/>
        <v>800000</v>
      </c>
      <c r="S502" s="3">
        <f t="shared" si="115"/>
        <v>200</v>
      </c>
      <c r="T502" t="str">
        <f t="shared" si="116"/>
        <v>C3500</v>
      </c>
      <c r="V502">
        <v>500</v>
      </c>
      <c r="W502">
        <f t="shared" si="108"/>
        <v>800</v>
      </c>
      <c r="X502">
        <f t="shared" si="110"/>
        <v>5000</v>
      </c>
      <c r="Y502">
        <f t="shared" si="109"/>
        <v>60</v>
      </c>
      <c r="Z502" s="4">
        <f t="shared" si="120"/>
        <v>2666666.6666666665</v>
      </c>
      <c r="AA502" s="3">
        <f t="shared" si="120"/>
        <v>60</v>
      </c>
      <c r="AB502" t="str">
        <f t="shared" si="119"/>
        <v>28B0AA</v>
      </c>
    </row>
    <row r="503" spans="14:28">
      <c r="N503">
        <v>501</v>
      </c>
      <c r="O503">
        <f t="shared" si="111"/>
        <v>1010</v>
      </c>
      <c r="P503">
        <f t="shared" si="112"/>
        <v>5010</v>
      </c>
      <c r="Q503">
        <f t="shared" si="113"/>
        <v>200</v>
      </c>
      <c r="R503" s="4">
        <f t="shared" si="114"/>
        <v>800000</v>
      </c>
      <c r="S503" s="3">
        <f t="shared" si="115"/>
        <v>200</v>
      </c>
      <c r="T503" t="str">
        <f t="shared" si="116"/>
        <v>C3500</v>
      </c>
      <c r="V503">
        <v>501</v>
      </c>
      <c r="W503">
        <f t="shared" si="108"/>
        <v>810</v>
      </c>
      <c r="X503">
        <f t="shared" si="110"/>
        <v>5010</v>
      </c>
      <c r="Y503">
        <f t="shared" si="109"/>
        <v>60</v>
      </c>
      <c r="Z503" s="4">
        <f t="shared" si="120"/>
        <v>2666666.6666666665</v>
      </c>
      <c r="AA503" s="3">
        <f t="shared" si="120"/>
        <v>60</v>
      </c>
      <c r="AB503" t="str">
        <f t="shared" si="119"/>
        <v>28B0AA</v>
      </c>
    </row>
    <row r="504" spans="14:28">
      <c r="N504">
        <v>502</v>
      </c>
      <c r="O504">
        <f t="shared" si="111"/>
        <v>1020</v>
      </c>
      <c r="P504">
        <f t="shared" si="112"/>
        <v>5020</v>
      </c>
      <c r="Q504">
        <f t="shared" si="113"/>
        <v>200</v>
      </c>
      <c r="R504" s="4">
        <f t="shared" si="114"/>
        <v>800000</v>
      </c>
      <c r="S504" s="3">
        <f t="shared" si="115"/>
        <v>200</v>
      </c>
      <c r="T504" t="str">
        <f t="shared" si="116"/>
        <v>C3500</v>
      </c>
      <c r="V504">
        <v>502</v>
      </c>
      <c r="W504">
        <f t="shared" si="108"/>
        <v>820</v>
      </c>
      <c r="X504">
        <f t="shared" si="110"/>
        <v>5020</v>
      </c>
      <c r="Y504">
        <f t="shared" si="109"/>
        <v>60</v>
      </c>
      <c r="Z504" s="4">
        <f t="shared" si="120"/>
        <v>2666666.6666666665</v>
      </c>
      <c r="AA504" s="3">
        <f t="shared" si="120"/>
        <v>60</v>
      </c>
      <c r="AB504" t="str">
        <f t="shared" si="119"/>
        <v>28B0AA</v>
      </c>
    </row>
    <row r="505" spans="14:28">
      <c r="N505">
        <v>503</v>
      </c>
      <c r="O505">
        <f t="shared" si="111"/>
        <v>1030</v>
      </c>
      <c r="P505">
        <f t="shared" si="112"/>
        <v>5030</v>
      </c>
      <c r="Q505">
        <f t="shared" si="113"/>
        <v>200</v>
      </c>
      <c r="R505" s="4">
        <f t="shared" si="114"/>
        <v>800000</v>
      </c>
      <c r="S505" s="3">
        <f t="shared" si="115"/>
        <v>200</v>
      </c>
      <c r="T505" t="str">
        <f t="shared" si="116"/>
        <v>C3500</v>
      </c>
      <c r="V505">
        <v>503</v>
      </c>
      <c r="W505">
        <f t="shared" si="108"/>
        <v>830</v>
      </c>
      <c r="X505">
        <f t="shared" si="110"/>
        <v>5030</v>
      </c>
      <c r="Y505">
        <f t="shared" si="109"/>
        <v>60</v>
      </c>
      <c r="Z505" s="4">
        <f t="shared" si="120"/>
        <v>2666666.6666666665</v>
      </c>
      <c r="AA505" s="3">
        <f t="shared" si="120"/>
        <v>60</v>
      </c>
      <c r="AB505" t="str">
        <f t="shared" si="119"/>
        <v>28B0AA</v>
      </c>
    </row>
    <row r="506" spans="14:28">
      <c r="N506">
        <v>504</v>
      </c>
      <c r="O506">
        <f t="shared" si="111"/>
        <v>1040</v>
      </c>
      <c r="P506">
        <f t="shared" si="112"/>
        <v>5040</v>
      </c>
      <c r="Q506">
        <f t="shared" si="113"/>
        <v>200</v>
      </c>
      <c r="R506" s="4">
        <f t="shared" si="114"/>
        <v>800000</v>
      </c>
      <c r="S506" s="3">
        <f t="shared" si="115"/>
        <v>200</v>
      </c>
      <c r="T506" t="str">
        <f t="shared" si="116"/>
        <v>C3500</v>
      </c>
      <c r="V506">
        <v>504</v>
      </c>
      <c r="W506">
        <f t="shared" si="108"/>
        <v>840</v>
      </c>
      <c r="X506">
        <f t="shared" si="110"/>
        <v>5040</v>
      </c>
      <c r="Y506">
        <f t="shared" si="109"/>
        <v>60</v>
      </c>
      <c r="Z506" s="4">
        <f t="shared" si="120"/>
        <v>2666666.6666666665</v>
      </c>
      <c r="AA506" s="3">
        <f t="shared" si="120"/>
        <v>60</v>
      </c>
      <c r="AB506" t="str">
        <f t="shared" si="119"/>
        <v>28B0AA</v>
      </c>
    </row>
    <row r="507" spans="14:28">
      <c r="N507">
        <v>505</v>
      </c>
      <c r="O507">
        <f t="shared" si="111"/>
        <v>1050</v>
      </c>
      <c r="P507">
        <f t="shared" si="112"/>
        <v>5050</v>
      </c>
      <c r="Q507">
        <f t="shared" si="113"/>
        <v>200</v>
      </c>
      <c r="R507" s="4">
        <f t="shared" si="114"/>
        <v>800000</v>
      </c>
      <c r="S507" s="3">
        <f t="shared" si="115"/>
        <v>200</v>
      </c>
      <c r="T507" t="str">
        <f t="shared" si="116"/>
        <v>C3500</v>
      </c>
      <c r="V507">
        <v>505</v>
      </c>
      <c r="W507">
        <f t="shared" si="108"/>
        <v>850</v>
      </c>
      <c r="X507">
        <f t="shared" si="110"/>
        <v>5050</v>
      </c>
      <c r="Y507">
        <f t="shared" si="109"/>
        <v>60</v>
      </c>
      <c r="Z507" s="4">
        <f t="shared" si="120"/>
        <v>2666666.6666666665</v>
      </c>
      <c r="AA507" s="3">
        <f t="shared" si="120"/>
        <v>60</v>
      </c>
      <c r="AB507" t="str">
        <f t="shared" si="119"/>
        <v>28B0AA</v>
      </c>
    </row>
    <row r="508" spans="14:28">
      <c r="N508">
        <v>506</v>
      </c>
      <c r="O508">
        <f t="shared" si="111"/>
        <v>1060</v>
      </c>
      <c r="P508">
        <f t="shared" si="112"/>
        <v>5060</v>
      </c>
      <c r="Q508">
        <f t="shared" si="113"/>
        <v>200</v>
      </c>
      <c r="R508" s="4">
        <f t="shared" si="114"/>
        <v>800000</v>
      </c>
      <c r="S508" s="3">
        <f t="shared" si="115"/>
        <v>200</v>
      </c>
      <c r="T508" t="str">
        <f t="shared" si="116"/>
        <v>C3500</v>
      </c>
      <c r="V508">
        <v>506</v>
      </c>
      <c r="W508">
        <f t="shared" si="108"/>
        <v>860</v>
      </c>
      <c r="X508">
        <f t="shared" si="110"/>
        <v>5060</v>
      </c>
      <c r="Y508">
        <f t="shared" si="109"/>
        <v>60</v>
      </c>
      <c r="Z508" s="4">
        <f t="shared" si="120"/>
        <v>2666666.6666666665</v>
      </c>
      <c r="AA508" s="3">
        <f t="shared" si="120"/>
        <v>60</v>
      </c>
      <c r="AB508" t="str">
        <f t="shared" si="119"/>
        <v>28B0AA</v>
      </c>
    </row>
    <row r="509" spans="14:28">
      <c r="N509">
        <v>507</v>
      </c>
      <c r="O509">
        <f t="shared" si="111"/>
        <v>1070</v>
      </c>
      <c r="P509">
        <f t="shared" si="112"/>
        <v>5070</v>
      </c>
      <c r="Q509">
        <f t="shared" si="113"/>
        <v>200</v>
      </c>
      <c r="R509" s="4">
        <f t="shared" si="114"/>
        <v>800000</v>
      </c>
      <c r="S509" s="3">
        <f t="shared" si="115"/>
        <v>200</v>
      </c>
      <c r="T509" t="str">
        <f t="shared" si="116"/>
        <v>C3500</v>
      </c>
      <c r="V509">
        <v>507</v>
      </c>
      <c r="W509">
        <f t="shared" si="108"/>
        <v>870</v>
      </c>
      <c r="X509">
        <f t="shared" si="110"/>
        <v>5070</v>
      </c>
      <c r="Y509">
        <f t="shared" si="109"/>
        <v>60</v>
      </c>
      <c r="Z509" s="4">
        <f t="shared" si="120"/>
        <v>2666666.6666666665</v>
      </c>
      <c r="AA509" s="3">
        <f t="shared" si="120"/>
        <v>60</v>
      </c>
      <c r="AB509" t="str">
        <f t="shared" si="119"/>
        <v>28B0AA</v>
      </c>
    </row>
    <row r="510" spans="14:28">
      <c r="N510">
        <v>508</v>
      </c>
      <c r="O510">
        <f t="shared" si="111"/>
        <v>1080</v>
      </c>
      <c r="P510">
        <f t="shared" si="112"/>
        <v>5080</v>
      </c>
      <c r="Q510">
        <f t="shared" si="113"/>
        <v>200</v>
      </c>
      <c r="R510" s="4">
        <f t="shared" si="114"/>
        <v>800000</v>
      </c>
      <c r="S510" s="3">
        <f t="shared" si="115"/>
        <v>200</v>
      </c>
      <c r="T510" t="str">
        <f t="shared" si="116"/>
        <v>C3500</v>
      </c>
      <c r="V510">
        <v>508</v>
      </c>
      <c r="W510">
        <f t="shared" si="108"/>
        <v>880</v>
      </c>
      <c r="X510">
        <f t="shared" si="110"/>
        <v>5080</v>
      </c>
      <c r="Y510">
        <f t="shared" si="109"/>
        <v>60</v>
      </c>
      <c r="Z510" s="4">
        <f t="shared" si="120"/>
        <v>2666666.6666666665</v>
      </c>
      <c r="AA510" s="3">
        <f t="shared" si="120"/>
        <v>60</v>
      </c>
      <c r="AB510" t="str">
        <f t="shared" si="119"/>
        <v>28B0AA</v>
      </c>
    </row>
    <row r="511" spans="14:28">
      <c r="N511">
        <v>509</v>
      </c>
      <c r="O511">
        <f t="shared" si="111"/>
        <v>1090</v>
      </c>
      <c r="P511">
        <f t="shared" si="112"/>
        <v>5090</v>
      </c>
      <c r="Q511">
        <f t="shared" si="113"/>
        <v>200</v>
      </c>
      <c r="R511" s="4">
        <f t="shared" si="114"/>
        <v>800000</v>
      </c>
      <c r="S511" s="3">
        <f t="shared" si="115"/>
        <v>200</v>
      </c>
      <c r="T511" t="str">
        <f t="shared" si="116"/>
        <v>C3500</v>
      </c>
      <c r="V511">
        <v>509</v>
      </c>
      <c r="W511">
        <f t="shared" ref="W511:W574" si="121">MOD(X511,$A$14+$A$15)</f>
        <v>890</v>
      </c>
      <c r="X511">
        <f t="shared" si="110"/>
        <v>5090</v>
      </c>
      <c r="Y511">
        <f t="shared" ref="Y511:Y574" si="122">IF(W511&gt;$A$14,0,IF(W511&lt;$A$13,W511/($A$13)*($A$11-$A$12)+$A$12,IF($A$14-W511&lt;$A$13,($A$14-W511)/($A$13)*($A$11-$A$12)+$A$12,$A$11)))</f>
        <v>60</v>
      </c>
      <c r="Z511" s="4">
        <f t="shared" si="120"/>
        <v>2666666.6666666665</v>
      </c>
      <c r="AA511" s="3">
        <f t="shared" si="120"/>
        <v>60</v>
      </c>
      <c r="AB511" t="str">
        <f t="shared" si="119"/>
        <v>28B0AA</v>
      </c>
    </row>
    <row r="512" spans="14:28">
      <c r="N512">
        <v>510</v>
      </c>
      <c r="O512">
        <f t="shared" si="111"/>
        <v>1100</v>
      </c>
      <c r="P512">
        <f t="shared" si="112"/>
        <v>5100</v>
      </c>
      <c r="Q512">
        <f t="shared" si="113"/>
        <v>200</v>
      </c>
      <c r="R512" s="4">
        <f t="shared" si="114"/>
        <v>800000</v>
      </c>
      <c r="S512" s="3">
        <f t="shared" si="115"/>
        <v>200</v>
      </c>
      <c r="T512" t="str">
        <f t="shared" si="116"/>
        <v>C3500</v>
      </c>
      <c r="V512">
        <v>510</v>
      </c>
      <c r="W512">
        <f t="shared" si="121"/>
        <v>900</v>
      </c>
      <c r="X512">
        <f t="shared" ref="X512:X575" si="123">V512*10</f>
        <v>5100</v>
      </c>
      <c r="Y512">
        <f t="shared" si="122"/>
        <v>60</v>
      </c>
      <c r="Z512" s="4">
        <f t="shared" si="120"/>
        <v>2666666.6666666665</v>
      </c>
      <c r="AA512" s="3">
        <f t="shared" si="120"/>
        <v>60</v>
      </c>
      <c r="AB512" t="str">
        <f t="shared" si="119"/>
        <v>28B0AA</v>
      </c>
    </row>
    <row r="513" spans="14:28">
      <c r="N513">
        <v>511</v>
      </c>
      <c r="O513">
        <f t="shared" si="111"/>
        <v>1110</v>
      </c>
      <c r="P513">
        <f t="shared" si="112"/>
        <v>5110</v>
      </c>
      <c r="Q513">
        <f t="shared" si="113"/>
        <v>200</v>
      </c>
      <c r="R513" s="4">
        <f t="shared" si="114"/>
        <v>800000</v>
      </c>
      <c r="S513" s="3">
        <f t="shared" si="115"/>
        <v>200</v>
      </c>
      <c r="T513" t="str">
        <f t="shared" si="116"/>
        <v>C3500</v>
      </c>
      <c r="V513">
        <v>511</v>
      </c>
      <c r="W513">
        <f t="shared" si="121"/>
        <v>910</v>
      </c>
      <c r="X513">
        <f t="shared" si="123"/>
        <v>5110</v>
      </c>
      <c r="Y513">
        <f t="shared" si="122"/>
        <v>60</v>
      </c>
      <c r="Z513" s="4">
        <f t="shared" si="120"/>
        <v>2666666.6666666665</v>
      </c>
      <c r="AA513" s="3">
        <f t="shared" si="120"/>
        <v>60</v>
      </c>
      <c r="AB513" t="str">
        <f t="shared" si="119"/>
        <v>28B0AA</v>
      </c>
    </row>
    <row r="514" spans="14:28">
      <c r="N514">
        <v>512</v>
      </c>
      <c r="O514">
        <f t="shared" si="111"/>
        <v>1120</v>
      </c>
      <c r="P514">
        <f t="shared" si="112"/>
        <v>5120</v>
      </c>
      <c r="Q514">
        <f t="shared" si="113"/>
        <v>200</v>
      </c>
      <c r="R514" s="4">
        <f t="shared" si="114"/>
        <v>800000</v>
      </c>
      <c r="S514" s="3">
        <f t="shared" si="115"/>
        <v>200</v>
      </c>
      <c r="T514" t="str">
        <f t="shared" si="116"/>
        <v>C3500</v>
      </c>
      <c r="V514">
        <v>512</v>
      </c>
      <c r="W514">
        <f t="shared" si="121"/>
        <v>920</v>
      </c>
      <c r="X514">
        <f t="shared" si="123"/>
        <v>5120</v>
      </c>
      <c r="Y514">
        <f t="shared" si="122"/>
        <v>60</v>
      </c>
      <c r="Z514" s="4">
        <f t="shared" si="120"/>
        <v>2666666.6666666665</v>
      </c>
      <c r="AA514" s="3">
        <f t="shared" si="120"/>
        <v>60</v>
      </c>
      <c r="AB514" t="str">
        <f t="shared" si="119"/>
        <v>28B0AA</v>
      </c>
    </row>
    <row r="515" spans="14:28">
      <c r="N515">
        <v>513</v>
      </c>
      <c r="O515">
        <f t="shared" ref="O515:O578" si="124">MOD(P515,$A$5+$A$6)</f>
        <v>1130</v>
      </c>
      <c r="P515">
        <f t="shared" si="112"/>
        <v>5130</v>
      </c>
      <c r="Q515">
        <f t="shared" si="113"/>
        <v>200</v>
      </c>
      <c r="R515" s="4">
        <f t="shared" si="114"/>
        <v>800000</v>
      </c>
      <c r="S515" s="3">
        <f t="shared" si="115"/>
        <v>200</v>
      </c>
      <c r="T515" t="str">
        <f t="shared" si="116"/>
        <v>C3500</v>
      </c>
      <c r="V515">
        <v>513</v>
      </c>
      <c r="W515">
        <f t="shared" si="121"/>
        <v>930</v>
      </c>
      <c r="X515">
        <f t="shared" si="123"/>
        <v>5130</v>
      </c>
      <c r="Y515">
        <f t="shared" si="122"/>
        <v>60</v>
      </c>
      <c r="Z515" s="4">
        <f t="shared" si="120"/>
        <v>2666666.6666666665</v>
      </c>
      <c r="AA515" s="3">
        <f t="shared" si="120"/>
        <v>60</v>
      </c>
      <c r="AB515" t="str">
        <f t="shared" si="119"/>
        <v>28B0AA</v>
      </c>
    </row>
    <row r="516" spans="14:28">
      <c r="N516">
        <v>514</v>
      </c>
      <c r="O516">
        <f t="shared" si="124"/>
        <v>1140</v>
      </c>
      <c r="P516">
        <f t="shared" si="112"/>
        <v>5140</v>
      </c>
      <c r="Q516">
        <f t="shared" si="113"/>
        <v>200</v>
      </c>
      <c r="R516" s="4">
        <f t="shared" si="114"/>
        <v>800000</v>
      </c>
      <c r="S516" s="3">
        <f t="shared" si="115"/>
        <v>200</v>
      </c>
      <c r="T516" t="str">
        <f t="shared" si="116"/>
        <v>C3500</v>
      </c>
      <c r="V516">
        <v>514</v>
      </c>
      <c r="W516">
        <f t="shared" si="121"/>
        <v>940</v>
      </c>
      <c r="X516">
        <f t="shared" si="123"/>
        <v>5140</v>
      </c>
      <c r="Y516">
        <f t="shared" si="122"/>
        <v>60</v>
      </c>
      <c r="Z516" s="4">
        <f t="shared" si="120"/>
        <v>2666666.6666666665</v>
      </c>
      <c r="AA516" s="3">
        <f t="shared" si="120"/>
        <v>60</v>
      </c>
      <c r="AB516" t="str">
        <f t="shared" si="119"/>
        <v>28B0AA</v>
      </c>
    </row>
    <row r="517" spans="14:28">
      <c r="N517">
        <v>515</v>
      </c>
      <c r="O517">
        <f t="shared" si="124"/>
        <v>1150</v>
      </c>
      <c r="P517">
        <f t="shared" si="112"/>
        <v>5150</v>
      </c>
      <c r="Q517">
        <f t="shared" si="113"/>
        <v>200</v>
      </c>
      <c r="R517" s="4">
        <f t="shared" si="114"/>
        <v>800000</v>
      </c>
      <c r="S517" s="3">
        <f t="shared" si="115"/>
        <v>200</v>
      </c>
      <c r="T517" t="str">
        <f t="shared" si="116"/>
        <v>C3500</v>
      </c>
      <c r="V517">
        <v>515</v>
      </c>
      <c r="W517">
        <f t="shared" si="121"/>
        <v>950</v>
      </c>
      <c r="X517">
        <f t="shared" si="123"/>
        <v>5150</v>
      </c>
      <c r="Y517">
        <f t="shared" si="122"/>
        <v>60</v>
      </c>
      <c r="Z517" s="4">
        <f t="shared" si="120"/>
        <v>2666666.6666666665</v>
      </c>
      <c r="AA517" s="3">
        <f t="shared" si="120"/>
        <v>60</v>
      </c>
      <c r="AB517" t="str">
        <f t="shared" si="119"/>
        <v>28B0AA</v>
      </c>
    </row>
    <row r="518" spans="14:28">
      <c r="N518">
        <v>516</v>
      </c>
      <c r="O518">
        <f t="shared" si="124"/>
        <v>1160</v>
      </c>
      <c r="P518">
        <f t="shared" si="112"/>
        <v>5160</v>
      </c>
      <c r="Q518">
        <f t="shared" si="113"/>
        <v>200</v>
      </c>
      <c r="R518" s="4">
        <f t="shared" si="114"/>
        <v>800000</v>
      </c>
      <c r="S518" s="3">
        <f t="shared" si="115"/>
        <v>200</v>
      </c>
      <c r="T518" t="str">
        <f t="shared" si="116"/>
        <v>C3500</v>
      </c>
      <c r="V518">
        <v>516</v>
      </c>
      <c r="W518">
        <f t="shared" si="121"/>
        <v>960</v>
      </c>
      <c r="X518">
        <f t="shared" si="123"/>
        <v>5160</v>
      </c>
      <c r="Y518">
        <f t="shared" si="122"/>
        <v>60</v>
      </c>
      <c r="Z518" s="4">
        <f t="shared" si="120"/>
        <v>2666666.6666666665</v>
      </c>
      <c r="AA518" s="3">
        <f t="shared" si="120"/>
        <v>60</v>
      </c>
      <c r="AB518" t="str">
        <f t="shared" si="119"/>
        <v>28B0AA</v>
      </c>
    </row>
    <row r="519" spans="14:28">
      <c r="N519">
        <v>517</v>
      </c>
      <c r="O519">
        <f t="shared" si="124"/>
        <v>1170</v>
      </c>
      <c r="P519">
        <f t="shared" si="112"/>
        <v>5170</v>
      </c>
      <c r="Q519">
        <f t="shared" si="113"/>
        <v>200</v>
      </c>
      <c r="R519" s="4">
        <f t="shared" si="114"/>
        <v>800000</v>
      </c>
      <c r="S519" s="3">
        <f t="shared" si="115"/>
        <v>200</v>
      </c>
      <c r="T519" t="str">
        <f t="shared" si="116"/>
        <v>C3500</v>
      </c>
      <c r="V519">
        <v>517</v>
      </c>
      <c r="W519">
        <f t="shared" si="121"/>
        <v>970</v>
      </c>
      <c r="X519">
        <f t="shared" si="123"/>
        <v>5170</v>
      </c>
      <c r="Y519">
        <f t="shared" si="122"/>
        <v>60</v>
      </c>
      <c r="Z519" s="4">
        <f t="shared" ref="Z519:AA538" si="125">IFERROR(160*1000*1000/Y519,0)</f>
        <v>2666666.6666666665</v>
      </c>
      <c r="AA519" s="3">
        <f t="shared" si="125"/>
        <v>60</v>
      </c>
      <c r="AB519" t="str">
        <f t="shared" si="119"/>
        <v>28B0AA</v>
      </c>
    </row>
    <row r="520" spans="14:28">
      <c r="N520">
        <v>518</v>
      </c>
      <c r="O520">
        <f t="shared" si="124"/>
        <v>1180</v>
      </c>
      <c r="P520">
        <f t="shared" si="112"/>
        <v>5180</v>
      </c>
      <c r="Q520">
        <f t="shared" si="113"/>
        <v>200</v>
      </c>
      <c r="R520" s="4">
        <f t="shared" si="114"/>
        <v>800000</v>
      </c>
      <c r="S520" s="3">
        <f t="shared" si="115"/>
        <v>200</v>
      </c>
      <c r="T520" t="str">
        <f t="shared" si="116"/>
        <v>C3500</v>
      </c>
      <c r="V520">
        <v>518</v>
      </c>
      <c r="W520">
        <f t="shared" si="121"/>
        <v>980</v>
      </c>
      <c r="X520">
        <f t="shared" si="123"/>
        <v>5180</v>
      </c>
      <c r="Y520">
        <f t="shared" si="122"/>
        <v>60</v>
      </c>
      <c r="Z520" s="4">
        <f t="shared" si="125"/>
        <v>2666666.6666666665</v>
      </c>
      <c r="AA520" s="3">
        <f t="shared" si="125"/>
        <v>60</v>
      </c>
      <c r="AB520" t="str">
        <f t="shared" si="119"/>
        <v>28B0AA</v>
      </c>
    </row>
    <row r="521" spans="14:28">
      <c r="N521">
        <v>519</v>
      </c>
      <c r="O521">
        <f t="shared" si="124"/>
        <v>1190</v>
      </c>
      <c r="P521">
        <f t="shared" si="112"/>
        <v>5190</v>
      </c>
      <c r="Q521">
        <f t="shared" si="113"/>
        <v>200</v>
      </c>
      <c r="R521" s="4">
        <f t="shared" si="114"/>
        <v>800000</v>
      </c>
      <c r="S521" s="3">
        <f t="shared" si="115"/>
        <v>200</v>
      </c>
      <c r="T521" t="str">
        <f t="shared" si="116"/>
        <v>C3500</v>
      </c>
      <c r="V521">
        <v>519</v>
      </c>
      <c r="W521">
        <f t="shared" si="121"/>
        <v>990</v>
      </c>
      <c r="X521">
        <f t="shared" si="123"/>
        <v>5190</v>
      </c>
      <c r="Y521">
        <f t="shared" si="122"/>
        <v>60</v>
      </c>
      <c r="Z521" s="4">
        <f t="shared" si="125"/>
        <v>2666666.6666666665</v>
      </c>
      <c r="AA521" s="3">
        <f t="shared" si="125"/>
        <v>60</v>
      </c>
      <c r="AB521" t="str">
        <f t="shared" si="119"/>
        <v>28B0AA</v>
      </c>
    </row>
    <row r="522" spans="14:28">
      <c r="N522">
        <v>520</v>
      </c>
      <c r="O522">
        <f t="shared" si="124"/>
        <v>1200</v>
      </c>
      <c r="P522">
        <f t="shared" si="112"/>
        <v>5200</v>
      </c>
      <c r="Q522">
        <f t="shared" si="113"/>
        <v>200</v>
      </c>
      <c r="R522" s="4">
        <f t="shared" si="114"/>
        <v>800000</v>
      </c>
      <c r="S522" s="3">
        <f t="shared" si="115"/>
        <v>200</v>
      </c>
      <c r="T522" t="str">
        <f t="shared" si="116"/>
        <v>C3500</v>
      </c>
      <c r="V522">
        <v>520</v>
      </c>
      <c r="W522">
        <f t="shared" si="121"/>
        <v>1000</v>
      </c>
      <c r="X522">
        <f t="shared" si="123"/>
        <v>5200</v>
      </c>
      <c r="Y522">
        <f t="shared" si="122"/>
        <v>60</v>
      </c>
      <c r="Z522" s="4">
        <f t="shared" si="125"/>
        <v>2666666.6666666665</v>
      </c>
      <c r="AA522" s="3">
        <f t="shared" si="125"/>
        <v>60</v>
      </c>
      <c r="AB522" t="str">
        <f t="shared" si="119"/>
        <v>28B0AA</v>
      </c>
    </row>
    <row r="523" spans="14:28">
      <c r="N523">
        <v>521</v>
      </c>
      <c r="O523">
        <f t="shared" si="124"/>
        <v>1210</v>
      </c>
      <c r="P523">
        <f t="shared" ref="P523:P586" si="126">N523*10</f>
        <v>5210</v>
      </c>
      <c r="Q523">
        <f t="shared" ref="Q523:Q586" si="127">IF(O523&gt;$A$5,0,IF(O523&lt;$A$4,O523/($A$4)*($A$2-$A$3)+$A$3,IF($A$5-O523&lt;$A$4,($A$5-O523)/($A$4)*($A$2-$A$3)+$A$3,$A$2)))</f>
        <v>200</v>
      </c>
      <c r="R523" s="4">
        <f t="shared" ref="R523:R586" si="128">IFERROR(160*1000*1000/Q523,0)</f>
        <v>800000</v>
      </c>
      <c r="S523" s="3">
        <f t="shared" ref="S523:S586" si="129">IFERROR(160*1000*1000/R523,0)</f>
        <v>200</v>
      </c>
      <c r="T523" t="str">
        <f t="shared" ref="T523:T586" si="130">DEC2HEX(R523)</f>
        <v>C3500</v>
      </c>
      <c r="V523">
        <v>521</v>
      </c>
      <c r="W523">
        <f t="shared" si="121"/>
        <v>1010</v>
      </c>
      <c r="X523">
        <f t="shared" si="123"/>
        <v>5210</v>
      </c>
      <c r="Y523">
        <f t="shared" si="122"/>
        <v>60</v>
      </c>
      <c r="Z523" s="4">
        <f t="shared" si="125"/>
        <v>2666666.6666666665</v>
      </c>
      <c r="AA523" s="3">
        <f t="shared" si="125"/>
        <v>60</v>
      </c>
      <c r="AB523" t="str">
        <f t="shared" si="119"/>
        <v>28B0AA</v>
      </c>
    </row>
    <row r="524" spans="14:28">
      <c r="N524">
        <v>522</v>
      </c>
      <c r="O524">
        <f t="shared" si="124"/>
        <v>1220</v>
      </c>
      <c r="P524">
        <f t="shared" si="126"/>
        <v>5220</v>
      </c>
      <c r="Q524">
        <f t="shared" si="127"/>
        <v>200</v>
      </c>
      <c r="R524" s="4">
        <f t="shared" si="128"/>
        <v>800000</v>
      </c>
      <c r="S524" s="3">
        <f t="shared" si="129"/>
        <v>200</v>
      </c>
      <c r="T524" t="str">
        <f t="shared" si="130"/>
        <v>C3500</v>
      </c>
      <c r="V524">
        <v>522</v>
      </c>
      <c r="W524">
        <f t="shared" si="121"/>
        <v>1020</v>
      </c>
      <c r="X524">
        <f t="shared" si="123"/>
        <v>5220</v>
      </c>
      <c r="Y524">
        <f t="shared" si="122"/>
        <v>60</v>
      </c>
      <c r="Z524" s="4">
        <f t="shared" si="125"/>
        <v>2666666.6666666665</v>
      </c>
      <c r="AA524" s="3">
        <f t="shared" si="125"/>
        <v>60</v>
      </c>
      <c r="AB524" t="str">
        <f t="shared" si="119"/>
        <v>28B0AA</v>
      </c>
    </row>
    <row r="525" spans="14:28">
      <c r="N525">
        <v>523</v>
      </c>
      <c r="O525">
        <f t="shared" si="124"/>
        <v>1230</v>
      </c>
      <c r="P525">
        <f t="shared" si="126"/>
        <v>5230</v>
      </c>
      <c r="Q525">
        <f t="shared" si="127"/>
        <v>200</v>
      </c>
      <c r="R525" s="4">
        <f t="shared" si="128"/>
        <v>800000</v>
      </c>
      <c r="S525" s="3">
        <f t="shared" si="129"/>
        <v>200</v>
      </c>
      <c r="T525" t="str">
        <f t="shared" si="130"/>
        <v>C3500</v>
      </c>
      <c r="V525">
        <v>523</v>
      </c>
      <c r="W525">
        <f t="shared" si="121"/>
        <v>1030</v>
      </c>
      <c r="X525">
        <f t="shared" si="123"/>
        <v>5230</v>
      </c>
      <c r="Y525">
        <f t="shared" si="122"/>
        <v>60</v>
      </c>
      <c r="Z525" s="4">
        <f t="shared" si="125"/>
        <v>2666666.6666666665</v>
      </c>
      <c r="AA525" s="3">
        <f t="shared" si="125"/>
        <v>60</v>
      </c>
      <c r="AB525" t="str">
        <f t="shared" si="119"/>
        <v>28B0AA</v>
      </c>
    </row>
    <row r="526" spans="14:28">
      <c r="N526">
        <v>524</v>
      </c>
      <c r="O526">
        <f t="shared" si="124"/>
        <v>1240</v>
      </c>
      <c r="P526">
        <f t="shared" si="126"/>
        <v>5240</v>
      </c>
      <c r="Q526">
        <f t="shared" si="127"/>
        <v>200</v>
      </c>
      <c r="R526" s="4">
        <f t="shared" si="128"/>
        <v>800000</v>
      </c>
      <c r="S526" s="3">
        <f t="shared" si="129"/>
        <v>200</v>
      </c>
      <c r="T526" t="str">
        <f t="shared" si="130"/>
        <v>C3500</v>
      </c>
      <c r="V526">
        <v>524</v>
      </c>
      <c r="W526">
        <f t="shared" si="121"/>
        <v>1040</v>
      </c>
      <c r="X526">
        <f t="shared" si="123"/>
        <v>5240</v>
      </c>
      <c r="Y526">
        <f t="shared" si="122"/>
        <v>60</v>
      </c>
      <c r="Z526" s="4">
        <f t="shared" si="125"/>
        <v>2666666.6666666665</v>
      </c>
      <c r="AA526" s="3">
        <f t="shared" si="125"/>
        <v>60</v>
      </c>
      <c r="AB526" t="str">
        <f t="shared" si="119"/>
        <v>28B0AA</v>
      </c>
    </row>
    <row r="527" spans="14:28">
      <c r="N527">
        <v>525</v>
      </c>
      <c r="O527">
        <f t="shared" si="124"/>
        <v>1250</v>
      </c>
      <c r="P527">
        <f t="shared" si="126"/>
        <v>5250</v>
      </c>
      <c r="Q527">
        <f t="shared" si="127"/>
        <v>200</v>
      </c>
      <c r="R527" s="4">
        <f t="shared" si="128"/>
        <v>800000</v>
      </c>
      <c r="S527" s="3">
        <f t="shared" si="129"/>
        <v>200</v>
      </c>
      <c r="T527" t="str">
        <f t="shared" si="130"/>
        <v>C3500</v>
      </c>
      <c r="V527">
        <v>525</v>
      </c>
      <c r="W527">
        <f t="shared" si="121"/>
        <v>1050</v>
      </c>
      <c r="X527">
        <f t="shared" si="123"/>
        <v>5250</v>
      </c>
      <c r="Y527">
        <f t="shared" si="122"/>
        <v>60</v>
      </c>
      <c r="Z527" s="4">
        <f t="shared" si="125"/>
        <v>2666666.6666666665</v>
      </c>
      <c r="AA527" s="3">
        <f t="shared" si="125"/>
        <v>60</v>
      </c>
      <c r="AB527" t="str">
        <f t="shared" si="119"/>
        <v>28B0AA</v>
      </c>
    </row>
    <row r="528" spans="14:28">
      <c r="N528">
        <v>526</v>
      </c>
      <c r="O528">
        <f t="shared" si="124"/>
        <v>1260</v>
      </c>
      <c r="P528">
        <f t="shared" si="126"/>
        <v>5260</v>
      </c>
      <c r="Q528">
        <f t="shared" si="127"/>
        <v>192.2</v>
      </c>
      <c r="R528" s="4">
        <f t="shared" si="128"/>
        <v>832466.1810613944</v>
      </c>
      <c r="S528" s="3">
        <f t="shared" si="129"/>
        <v>192.2</v>
      </c>
      <c r="T528" t="str">
        <f t="shared" si="130"/>
        <v>CB3D2</v>
      </c>
      <c r="V528">
        <v>526</v>
      </c>
      <c r="W528">
        <f t="shared" si="121"/>
        <v>1060</v>
      </c>
      <c r="X528">
        <f t="shared" si="123"/>
        <v>5260</v>
      </c>
      <c r="Y528">
        <f t="shared" si="122"/>
        <v>60</v>
      </c>
      <c r="Z528" s="4">
        <f t="shared" si="125"/>
        <v>2666666.6666666665</v>
      </c>
      <c r="AA528" s="3">
        <f t="shared" si="125"/>
        <v>60</v>
      </c>
      <c r="AB528" t="str">
        <f t="shared" si="119"/>
        <v>28B0AA</v>
      </c>
    </row>
    <row r="529" spans="14:28">
      <c r="N529">
        <v>527</v>
      </c>
      <c r="O529">
        <f t="shared" si="124"/>
        <v>1270</v>
      </c>
      <c r="P529">
        <f t="shared" si="126"/>
        <v>5270</v>
      </c>
      <c r="Q529">
        <f t="shared" si="127"/>
        <v>184.4</v>
      </c>
      <c r="R529" s="4">
        <f t="shared" si="128"/>
        <v>867678.95878524939</v>
      </c>
      <c r="S529" s="3">
        <f t="shared" si="129"/>
        <v>184.4</v>
      </c>
      <c r="T529" t="str">
        <f t="shared" si="130"/>
        <v>D3D5E</v>
      </c>
      <c r="V529">
        <v>527</v>
      </c>
      <c r="W529">
        <f t="shared" si="121"/>
        <v>1070</v>
      </c>
      <c r="X529">
        <f t="shared" si="123"/>
        <v>5270</v>
      </c>
      <c r="Y529">
        <f t="shared" si="122"/>
        <v>60</v>
      </c>
      <c r="Z529" s="4">
        <f t="shared" si="125"/>
        <v>2666666.6666666665</v>
      </c>
      <c r="AA529" s="3">
        <f t="shared" si="125"/>
        <v>60</v>
      </c>
      <c r="AB529" t="str">
        <f t="shared" si="119"/>
        <v>28B0AA</v>
      </c>
    </row>
    <row r="530" spans="14:28">
      <c r="N530">
        <v>528</v>
      </c>
      <c r="O530">
        <f t="shared" si="124"/>
        <v>1280</v>
      </c>
      <c r="P530">
        <f t="shared" si="126"/>
        <v>5280</v>
      </c>
      <c r="Q530">
        <f t="shared" si="127"/>
        <v>176.6</v>
      </c>
      <c r="R530" s="4">
        <f t="shared" si="128"/>
        <v>906002.26500566257</v>
      </c>
      <c r="S530" s="3">
        <f t="shared" si="129"/>
        <v>176.6</v>
      </c>
      <c r="T530" t="str">
        <f t="shared" si="130"/>
        <v>DD312</v>
      </c>
      <c r="V530">
        <v>528</v>
      </c>
      <c r="W530">
        <f t="shared" si="121"/>
        <v>1080</v>
      </c>
      <c r="X530">
        <f t="shared" si="123"/>
        <v>5280</v>
      </c>
      <c r="Y530">
        <f t="shared" si="122"/>
        <v>60</v>
      </c>
      <c r="Z530" s="4">
        <f t="shared" si="125"/>
        <v>2666666.6666666665</v>
      </c>
      <c r="AA530" s="3">
        <f t="shared" si="125"/>
        <v>60</v>
      </c>
      <c r="AB530" t="str">
        <f t="shared" si="119"/>
        <v>28B0AA</v>
      </c>
    </row>
    <row r="531" spans="14:28">
      <c r="N531">
        <v>529</v>
      </c>
      <c r="O531">
        <f t="shared" si="124"/>
        <v>1290</v>
      </c>
      <c r="P531">
        <f t="shared" si="126"/>
        <v>5290</v>
      </c>
      <c r="Q531">
        <f t="shared" si="127"/>
        <v>168.79999999999998</v>
      </c>
      <c r="R531" s="4">
        <f t="shared" si="128"/>
        <v>947867.29857819912</v>
      </c>
      <c r="S531" s="3">
        <f t="shared" si="129"/>
        <v>168.79999999999998</v>
      </c>
      <c r="T531" t="str">
        <f t="shared" si="130"/>
        <v>E769B</v>
      </c>
      <c r="V531">
        <v>529</v>
      </c>
      <c r="W531">
        <f t="shared" si="121"/>
        <v>1090</v>
      </c>
      <c r="X531">
        <f t="shared" si="123"/>
        <v>5290</v>
      </c>
      <c r="Y531">
        <f t="shared" si="122"/>
        <v>60</v>
      </c>
      <c r="Z531" s="4">
        <f t="shared" si="125"/>
        <v>2666666.6666666665</v>
      </c>
      <c r="AA531" s="3">
        <f t="shared" si="125"/>
        <v>60</v>
      </c>
      <c r="AB531" t="str">
        <f t="shared" si="119"/>
        <v>28B0AA</v>
      </c>
    </row>
    <row r="532" spans="14:28">
      <c r="N532">
        <v>530</v>
      </c>
      <c r="O532">
        <f t="shared" si="124"/>
        <v>1300</v>
      </c>
      <c r="P532">
        <f t="shared" si="126"/>
        <v>5300</v>
      </c>
      <c r="Q532">
        <f t="shared" si="127"/>
        <v>161</v>
      </c>
      <c r="R532" s="4">
        <f t="shared" si="128"/>
        <v>993788.81987577642</v>
      </c>
      <c r="S532" s="3">
        <f t="shared" si="129"/>
        <v>161</v>
      </c>
      <c r="T532" t="str">
        <f t="shared" si="130"/>
        <v>F29FC</v>
      </c>
      <c r="V532">
        <v>530</v>
      </c>
      <c r="W532">
        <f t="shared" si="121"/>
        <v>1100</v>
      </c>
      <c r="X532">
        <f t="shared" si="123"/>
        <v>5300</v>
      </c>
      <c r="Y532">
        <f t="shared" si="122"/>
        <v>60</v>
      </c>
      <c r="Z532" s="4">
        <f t="shared" si="125"/>
        <v>2666666.6666666665</v>
      </c>
      <c r="AA532" s="3">
        <f t="shared" si="125"/>
        <v>60</v>
      </c>
      <c r="AB532" t="str">
        <f t="shared" si="119"/>
        <v>28B0AA</v>
      </c>
    </row>
    <row r="533" spans="14:28">
      <c r="N533">
        <v>531</v>
      </c>
      <c r="O533">
        <f t="shared" si="124"/>
        <v>1310</v>
      </c>
      <c r="P533">
        <f t="shared" si="126"/>
        <v>5310</v>
      </c>
      <c r="Q533">
        <f t="shared" si="127"/>
        <v>153.19999999999999</v>
      </c>
      <c r="R533" s="4">
        <f t="shared" si="128"/>
        <v>1044386.4229765014</v>
      </c>
      <c r="S533" s="3">
        <f t="shared" si="129"/>
        <v>153.19999999999999</v>
      </c>
      <c r="T533" t="str">
        <f t="shared" si="130"/>
        <v>FEFA2</v>
      </c>
      <c r="V533">
        <v>531</v>
      </c>
      <c r="W533">
        <f t="shared" si="121"/>
        <v>1110</v>
      </c>
      <c r="X533">
        <f t="shared" si="123"/>
        <v>5310</v>
      </c>
      <c r="Y533">
        <f t="shared" si="122"/>
        <v>60</v>
      </c>
      <c r="Z533" s="4">
        <f t="shared" si="125"/>
        <v>2666666.6666666665</v>
      </c>
      <c r="AA533" s="3">
        <f t="shared" si="125"/>
        <v>60</v>
      </c>
      <c r="AB533" t="str">
        <f t="shared" si="119"/>
        <v>28B0AA</v>
      </c>
    </row>
    <row r="534" spans="14:28">
      <c r="N534">
        <v>532</v>
      </c>
      <c r="O534">
        <f t="shared" si="124"/>
        <v>1320</v>
      </c>
      <c r="P534">
        <f t="shared" si="126"/>
        <v>5320</v>
      </c>
      <c r="Q534">
        <f t="shared" si="127"/>
        <v>145.4</v>
      </c>
      <c r="R534" s="4">
        <f t="shared" si="128"/>
        <v>1100412.6547455296</v>
      </c>
      <c r="S534" s="3">
        <f t="shared" si="129"/>
        <v>145.39999999999998</v>
      </c>
      <c r="T534" t="str">
        <f t="shared" si="130"/>
        <v>10CA7C</v>
      </c>
      <c r="V534">
        <v>532</v>
      </c>
      <c r="W534">
        <f t="shared" si="121"/>
        <v>1120</v>
      </c>
      <c r="X534">
        <f t="shared" si="123"/>
        <v>5320</v>
      </c>
      <c r="Y534">
        <f t="shared" si="122"/>
        <v>60</v>
      </c>
      <c r="Z534" s="4">
        <f t="shared" si="125"/>
        <v>2666666.6666666665</v>
      </c>
      <c r="AA534" s="3">
        <f t="shared" si="125"/>
        <v>60</v>
      </c>
      <c r="AB534" t="str">
        <f t="shared" si="119"/>
        <v>28B0AA</v>
      </c>
    </row>
    <row r="535" spans="14:28">
      <c r="N535">
        <v>533</v>
      </c>
      <c r="O535">
        <f t="shared" si="124"/>
        <v>1330</v>
      </c>
      <c r="P535">
        <f t="shared" si="126"/>
        <v>5330</v>
      </c>
      <c r="Q535">
        <f t="shared" si="127"/>
        <v>137.60000000000002</v>
      </c>
      <c r="R535" s="4">
        <f t="shared" si="128"/>
        <v>1162790.6976744183</v>
      </c>
      <c r="S535" s="3">
        <f t="shared" si="129"/>
        <v>137.60000000000002</v>
      </c>
      <c r="T535" t="str">
        <f t="shared" si="130"/>
        <v>11BE26</v>
      </c>
      <c r="V535">
        <v>533</v>
      </c>
      <c r="W535">
        <f t="shared" si="121"/>
        <v>1130</v>
      </c>
      <c r="X535">
        <f t="shared" si="123"/>
        <v>5330</v>
      </c>
      <c r="Y535">
        <f t="shared" si="122"/>
        <v>60</v>
      </c>
      <c r="Z535" s="4">
        <f t="shared" si="125"/>
        <v>2666666.6666666665</v>
      </c>
      <c r="AA535" s="3">
        <f t="shared" si="125"/>
        <v>60</v>
      </c>
      <c r="AB535" t="str">
        <f t="shared" si="119"/>
        <v>28B0AA</v>
      </c>
    </row>
    <row r="536" spans="14:28">
      <c r="N536">
        <v>534</v>
      </c>
      <c r="O536">
        <f t="shared" si="124"/>
        <v>1340</v>
      </c>
      <c r="P536">
        <f t="shared" si="126"/>
        <v>5340</v>
      </c>
      <c r="Q536">
        <f t="shared" si="127"/>
        <v>129.80000000000001</v>
      </c>
      <c r="R536" s="4">
        <f t="shared" si="128"/>
        <v>1232665.6394453004</v>
      </c>
      <c r="S536" s="3">
        <f t="shared" si="129"/>
        <v>129.80000000000001</v>
      </c>
      <c r="T536" t="str">
        <f t="shared" si="130"/>
        <v>12CF19</v>
      </c>
      <c r="V536">
        <v>534</v>
      </c>
      <c r="W536">
        <f t="shared" si="121"/>
        <v>1140</v>
      </c>
      <c r="X536">
        <f t="shared" si="123"/>
        <v>5340</v>
      </c>
      <c r="Y536">
        <f t="shared" si="122"/>
        <v>60</v>
      </c>
      <c r="Z536" s="4">
        <f t="shared" si="125"/>
        <v>2666666.6666666665</v>
      </c>
      <c r="AA536" s="3">
        <f t="shared" si="125"/>
        <v>60</v>
      </c>
      <c r="AB536" t="str">
        <f t="shared" si="119"/>
        <v>28B0AA</v>
      </c>
    </row>
    <row r="537" spans="14:28">
      <c r="N537">
        <v>535</v>
      </c>
      <c r="O537">
        <f t="shared" si="124"/>
        <v>1350</v>
      </c>
      <c r="P537">
        <f t="shared" si="126"/>
        <v>5350</v>
      </c>
      <c r="Q537">
        <f t="shared" si="127"/>
        <v>122</v>
      </c>
      <c r="R537" s="4">
        <f t="shared" si="128"/>
        <v>1311475.4098360655</v>
      </c>
      <c r="S537" s="3">
        <f t="shared" si="129"/>
        <v>122.00000000000001</v>
      </c>
      <c r="T537" t="str">
        <f t="shared" si="130"/>
        <v>1402F3</v>
      </c>
      <c r="V537">
        <v>535</v>
      </c>
      <c r="W537">
        <f t="shared" si="121"/>
        <v>1150</v>
      </c>
      <c r="X537">
        <f t="shared" si="123"/>
        <v>5350</v>
      </c>
      <c r="Y537">
        <f t="shared" si="122"/>
        <v>60</v>
      </c>
      <c r="Z537" s="4">
        <f t="shared" si="125"/>
        <v>2666666.6666666665</v>
      </c>
      <c r="AA537" s="3">
        <f t="shared" si="125"/>
        <v>60</v>
      </c>
      <c r="AB537" t="str">
        <f t="shared" si="119"/>
        <v>28B0AA</v>
      </c>
    </row>
    <row r="538" spans="14:28">
      <c r="N538">
        <v>536</v>
      </c>
      <c r="O538">
        <f t="shared" si="124"/>
        <v>1360</v>
      </c>
      <c r="P538">
        <f t="shared" si="126"/>
        <v>5360</v>
      </c>
      <c r="Q538">
        <f t="shared" si="127"/>
        <v>114.20000000000002</v>
      </c>
      <c r="R538" s="4">
        <f t="shared" si="128"/>
        <v>1401050.7880910682</v>
      </c>
      <c r="S538" s="3">
        <f t="shared" si="129"/>
        <v>114.20000000000002</v>
      </c>
      <c r="T538" t="str">
        <f t="shared" si="130"/>
        <v>1560DA</v>
      </c>
      <c r="V538">
        <v>536</v>
      </c>
      <c r="W538">
        <f t="shared" si="121"/>
        <v>1160</v>
      </c>
      <c r="X538">
        <f t="shared" si="123"/>
        <v>5360</v>
      </c>
      <c r="Y538">
        <f t="shared" si="122"/>
        <v>60</v>
      </c>
      <c r="Z538" s="4">
        <f t="shared" si="125"/>
        <v>2666666.6666666665</v>
      </c>
      <c r="AA538" s="3">
        <f t="shared" si="125"/>
        <v>60</v>
      </c>
      <c r="AB538" t="str">
        <f t="shared" si="119"/>
        <v>28B0AA</v>
      </c>
    </row>
    <row r="539" spans="14:28">
      <c r="N539">
        <v>537</v>
      </c>
      <c r="O539">
        <f t="shared" si="124"/>
        <v>1370</v>
      </c>
      <c r="P539">
        <f t="shared" si="126"/>
        <v>5370</v>
      </c>
      <c r="Q539">
        <f t="shared" si="127"/>
        <v>106.4</v>
      </c>
      <c r="R539" s="4">
        <f t="shared" si="128"/>
        <v>1503759.3984962406</v>
      </c>
      <c r="S539" s="3">
        <f t="shared" si="129"/>
        <v>106.4</v>
      </c>
      <c r="T539" t="str">
        <f t="shared" si="130"/>
        <v>16F20F</v>
      </c>
      <c r="V539">
        <v>537</v>
      </c>
      <c r="W539">
        <f t="shared" si="121"/>
        <v>1170</v>
      </c>
      <c r="X539">
        <f t="shared" si="123"/>
        <v>5370</v>
      </c>
      <c r="Y539">
        <f t="shared" si="122"/>
        <v>60</v>
      </c>
      <c r="Z539" s="4">
        <f t="shared" ref="Z539:AA558" si="131">IFERROR(160*1000*1000/Y539,0)</f>
        <v>2666666.6666666665</v>
      </c>
      <c r="AA539" s="3">
        <f t="shared" si="131"/>
        <v>60</v>
      </c>
      <c r="AB539" t="str">
        <f t="shared" si="119"/>
        <v>28B0AA</v>
      </c>
    </row>
    <row r="540" spans="14:28">
      <c r="N540">
        <v>538</v>
      </c>
      <c r="O540">
        <f t="shared" si="124"/>
        <v>1380</v>
      </c>
      <c r="P540">
        <f t="shared" si="126"/>
        <v>5380</v>
      </c>
      <c r="Q540">
        <f t="shared" si="127"/>
        <v>98.6</v>
      </c>
      <c r="R540" s="4">
        <f t="shared" si="128"/>
        <v>1622718.0527383368</v>
      </c>
      <c r="S540" s="3">
        <f t="shared" si="129"/>
        <v>98.6</v>
      </c>
      <c r="T540" t="str">
        <f t="shared" si="130"/>
        <v>18C2BE</v>
      </c>
      <c r="V540">
        <v>538</v>
      </c>
      <c r="W540">
        <f t="shared" si="121"/>
        <v>1180</v>
      </c>
      <c r="X540">
        <f t="shared" si="123"/>
        <v>5380</v>
      </c>
      <c r="Y540">
        <f t="shared" si="122"/>
        <v>60</v>
      </c>
      <c r="Z540" s="4">
        <f t="shared" si="131"/>
        <v>2666666.6666666665</v>
      </c>
      <c r="AA540" s="3">
        <f t="shared" si="131"/>
        <v>60</v>
      </c>
      <c r="AB540" t="str">
        <f t="shared" si="119"/>
        <v>28B0AA</v>
      </c>
    </row>
    <row r="541" spans="14:28">
      <c r="N541">
        <v>539</v>
      </c>
      <c r="O541">
        <f t="shared" si="124"/>
        <v>1390</v>
      </c>
      <c r="P541">
        <f t="shared" si="126"/>
        <v>5390</v>
      </c>
      <c r="Q541">
        <f t="shared" si="127"/>
        <v>90.8</v>
      </c>
      <c r="R541" s="4">
        <f t="shared" si="128"/>
        <v>1762114.537444934</v>
      </c>
      <c r="S541" s="3">
        <f t="shared" si="129"/>
        <v>90.8</v>
      </c>
      <c r="T541" t="str">
        <f t="shared" si="130"/>
        <v>1AE342</v>
      </c>
      <c r="V541">
        <v>539</v>
      </c>
      <c r="W541">
        <f t="shared" si="121"/>
        <v>1190</v>
      </c>
      <c r="X541">
        <f t="shared" si="123"/>
        <v>5390</v>
      </c>
      <c r="Y541">
        <f t="shared" si="122"/>
        <v>60</v>
      </c>
      <c r="Z541" s="4">
        <f t="shared" si="131"/>
        <v>2666666.6666666665</v>
      </c>
      <c r="AA541" s="3">
        <f t="shared" si="131"/>
        <v>60</v>
      </c>
      <c r="AB541" t="str">
        <f t="shared" si="119"/>
        <v>28B0AA</v>
      </c>
    </row>
    <row r="542" spans="14:28">
      <c r="N542">
        <v>540</v>
      </c>
      <c r="O542">
        <f t="shared" si="124"/>
        <v>1400</v>
      </c>
      <c r="P542">
        <f t="shared" si="126"/>
        <v>5400</v>
      </c>
      <c r="Q542">
        <f t="shared" si="127"/>
        <v>83</v>
      </c>
      <c r="R542" s="4">
        <f t="shared" si="128"/>
        <v>1927710.843373494</v>
      </c>
      <c r="S542" s="3">
        <f t="shared" si="129"/>
        <v>83</v>
      </c>
      <c r="T542" t="str">
        <f t="shared" si="130"/>
        <v>1D6A1E</v>
      </c>
      <c r="V542">
        <v>540</v>
      </c>
      <c r="W542">
        <f t="shared" si="121"/>
        <v>1200</v>
      </c>
      <c r="X542">
        <f t="shared" si="123"/>
        <v>5400</v>
      </c>
      <c r="Y542">
        <f t="shared" si="122"/>
        <v>60</v>
      </c>
      <c r="Z542" s="4">
        <f t="shared" si="131"/>
        <v>2666666.6666666665</v>
      </c>
      <c r="AA542" s="3">
        <f t="shared" si="131"/>
        <v>60</v>
      </c>
      <c r="AB542" t="str">
        <f t="shared" si="119"/>
        <v>28B0AA</v>
      </c>
    </row>
    <row r="543" spans="14:28">
      <c r="N543">
        <v>541</v>
      </c>
      <c r="O543">
        <f t="shared" si="124"/>
        <v>1410</v>
      </c>
      <c r="P543">
        <f t="shared" si="126"/>
        <v>5410</v>
      </c>
      <c r="Q543">
        <f t="shared" si="127"/>
        <v>75.2</v>
      </c>
      <c r="R543" s="4">
        <f t="shared" si="128"/>
        <v>2127659.5744680851</v>
      </c>
      <c r="S543" s="3">
        <f t="shared" si="129"/>
        <v>75.2</v>
      </c>
      <c r="T543" t="str">
        <f t="shared" si="130"/>
        <v>20772B</v>
      </c>
      <c r="V543">
        <v>541</v>
      </c>
      <c r="W543">
        <f t="shared" si="121"/>
        <v>1210</v>
      </c>
      <c r="X543">
        <f t="shared" si="123"/>
        <v>5410</v>
      </c>
      <c r="Y543">
        <f t="shared" si="122"/>
        <v>60</v>
      </c>
      <c r="Z543" s="4">
        <f t="shared" si="131"/>
        <v>2666666.6666666665</v>
      </c>
      <c r="AA543" s="3">
        <f t="shared" si="131"/>
        <v>60</v>
      </c>
      <c r="AB543" t="str">
        <f t="shared" si="119"/>
        <v>28B0AA</v>
      </c>
    </row>
    <row r="544" spans="14:28">
      <c r="N544">
        <v>542</v>
      </c>
      <c r="O544">
        <f t="shared" si="124"/>
        <v>1420</v>
      </c>
      <c r="P544">
        <f t="shared" si="126"/>
        <v>5420</v>
      </c>
      <c r="Q544">
        <f t="shared" si="127"/>
        <v>67.400000000000006</v>
      </c>
      <c r="R544" s="4">
        <f t="shared" si="128"/>
        <v>2373887.240356083</v>
      </c>
      <c r="S544" s="3">
        <f t="shared" si="129"/>
        <v>67.400000000000006</v>
      </c>
      <c r="T544" t="str">
        <f t="shared" si="130"/>
        <v>2438FF</v>
      </c>
      <c r="V544">
        <v>542</v>
      </c>
      <c r="W544">
        <f t="shared" si="121"/>
        <v>1220</v>
      </c>
      <c r="X544">
        <f t="shared" si="123"/>
        <v>5420</v>
      </c>
      <c r="Y544">
        <f t="shared" si="122"/>
        <v>60</v>
      </c>
      <c r="Z544" s="4">
        <f t="shared" si="131"/>
        <v>2666666.6666666665</v>
      </c>
      <c r="AA544" s="3">
        <f t="shared" si="131"/>
        <v>60</v>
      </c>
      <c r="AB544" t="str">
        <f t="shared" si="119"/>
        <v>28B0AA</v>
      </c>
    </row>
    <row r="545" spans="14:28">
      <c r="N545">
        <v>543</v>
      </c>
      <c r="O545">
        <f t="shared" si="124"/>
        <v>1430</v>
      </c>
      <c r="P545">
        <f t="shared" si="126"/>
        <v>5430</v>
      </c>
      <c r="Q545">
        <f t="shared" si="127"/>
        <v>59.600000000000009</v>
      </c>
      <c r="R545" s="4">
        <f t="shared" si="128"/>
        <v>2684563.7583892616</v>
      </c>
      <c r="S545" s="3">
        <f t="shared" si="129"/>
        <v>59.6</v>
      </c>
      <c r="T545" t="str">
        <f t="shared" si="130"/>
        <v>28F693</v>
      </c>
      <c r="V545">
        <v>543</v>
      </c>
      <c r="W545">
        <f t="shared" si="121"/>
        <v>1230</v>
      </c>
      <c r="X545">
        <f t="shared" si="123"/>
        <v>5430</v>
      </c>
      <c r="Y545">
        <f t="shared" si="122"/>
        <v>60</v>
      </c>
      <c r="Z545" s="4">
        <f t="shared" si="131"/>
        <v>2666666.6666666665</v>
      </c>
      <c r="AA545" s="3">
        <f t="shared" si="131"/>
        <v>60</v>
      </c>
      <c r="AB545" t="str">
        <f t="shared" si="119"/>
        <v>28B0AA</v>
      </c>
    </row>
    <row r="546" spans="14:28">
      <c r="N546">
        <v>544</v>
      </c>
      <c r="O546">
        <f t="shared" si="124"/>
        <v>1440</v>
      </c>
      <c r="P546">
        <f t="shared" si="126"/>
        <v>5440</v>
      </c>
      <c r="Q546">
        <f t="shared" si="127"/>
        <v>51.8</v>
      </c>
      <c r="R546" s="4">
        <f t="shared" si="128"/>
        <v>3088803.0888030888</v>
      </c>
      <c r="S546" s="3">
        <f t="shared" si="129"/>
        <v>51.800000000000004</v>
      </c>
      <c r="T546" t="str">
        <f t="shared" si="130"/>
        <v>2F21A3</v>
      </c>
      <c r="V546">
        <v>544</v>
      </c>
      <c r="W546">
        <f t="shared" si="121"/>
        <v>1240</v>
      </c>
      <c r="X546">
        <f t="shared" si="123"/>
        <v>5440</v>
      </c>
      <c r="Y546">
        <f t="shared" si="122"/>
        <v>60</v>
      </c>
      <c r="Z546" s="4">
        <f t="shared" si="131"/>
        <v>2666666.6666666665</v>
      </c>
      <c r="AA546" s="3">
        <f t="shared" si="131"/>
        <v>60</v>
      </c>
      <c r="AB546" t="str">
        <f t="shared" ref="AB546:AB609" si="132">DEC2HEX(Z546)</f>
        <v>28B0AA</v>
      </c>
    </row>
    <row r="547" spans="14:28">
      <c r="N547">
        <v>545</v>
      </c>
      <c r="O547">
        <f t="shared" si="124"/>
        <v>1450</v>
      </c>
      <c r="P547">
        <f t="shared" si="126"/>
        <v>5450</v>
      </c>
      <c r="Q547">
        <f t="shared" si="127"/>
        <v>44</v>
      </c>
      <c r="R547" s="4">
        <f t="shared" si="128"/>
        <v>3636363.6363636362</v>
      </c>
      <c r="S547" s="3">
        <f t="shared" si="129"/>
        <v>44</v>
      </c>
      <c r="T547" t="str">
        <f t="shared" si="130"/>
        <v>377C8B</v>
      </c>
      <c r="V547">
        <v>545</v>
      </c>
      <c r="W547">
        <f t="shared" si="121"/>
        <v>1250</v>
      </c>
      <c r="X547">
        <f t="shared" si="123"/>
        <v>5450</v>
      </c>
      <c r="Y547">
        <f t="shared" si="122"/>
        <v>60</v>
      </c>
      <c r="Z547" s="4">
        <f t="shared" si="131"/>
        <v>2666666.6666666665</v>
      </c>
      <c r="AA547" s="3">
        <f t="shared" si="131"/>
        <v>60</v>
      </c>
      <c r="AB547" t="str">
        <f t="shared" si="132"/>
        <v>28B0AA</v>
      </c>
    </row>
    <row r="548" spans="14:28">
      <c r="N548">
        <v>546</v>
      </c>
      <c r="O548">
        <f t="shared" si="124"/>
        <v>1460</v>
      </c>
      <c r="P548">
        <f t="shared" si="126"/>
        <v>5460</v>
      </c>
      <c r="Q548">
        <f t="shared" si="127"/>
        <v>36.200000000000003</v>
      </c>
      <c r="R548" s="4">
        <f t="shared" si="128"/>
        <v>4419889.5027624303</v>
      </c>
      <c r="S548" s="3">
        <f t="shared" si="129"/>
        <v>36.200000000000003</v>
      </c>
      <c r="T548" t="str">
        <f t="shared" si="130"/>
        <v>437131</v>
      </c>
      <c r="V548">
        <v>546</v>
      </c>
      <c r="W548">
        <f t="shared" si="121"/>
        <v>1260</v>
      </c>
      <c r="X548">
        <f t="shared" si="123"/>
        <v>5460</v>
      </c>
      <c r="Y548">
        <f t="shared" si="122"/>
        <v>60</v>
      </c>
      <c r="Z548" s="4">
        <f t="shared" si="131"/>
        <v>2666666.6666666665</v>
      </c>
      <c r="AA548" s="3">
        <f t="shared" si="131"/>
        <v>60</v>
      </c>
      <c r="AB548" t="str">
        <f t="shared" si="132"/>
        <v>28B0AA</v>
      </c>
    </row>
    <row r="549" spans="14:28">
      <c r="N549">
        <v>547</v>
      </c>
      <c r="O549">
        <f t="shared" si="124"/>
        <v>1470</v>
      </c>
      <c r="P549">
        <f t="shared" si="126"/>
        <v>5470</v>
      </c>
      <c r="Q549">
        <f t="shared" si="127"/>
        <v>28.4</v>
      </c>
      <c r="R549" s="4">
        <f t="shared" si="128"/>
        <v>5633802.8169014091</v>
      </c>
      <c r="S549" s="3">
        <f t="shared" si="129"/>
        <v>28.4</v>
      </c>
      <c r="T549" t="str">
        <f t="shared" si="130"/>
        <v>55F70A</v>
      </c>
      <c r="V549">
        <v>547</v>
      </c>
      <c r="W549">
        <f t="shared" si="121"/>
        <v>1270</v>
      </c>
      <c r="X549">
        <f t="shared" si="123"/>
        <v>5470</v>
      </c>
      <c r="Y549">
        <f t="shared" si="122"/>
        <v>60</v>
      </c>
      <c r="Z549" s="4">
        <f t="shared" si="131"/>
        <v>2666666.6666666665</v>
      </c>
      <c r="AA549" s="3">
        <f t="shared" si="131"/>
        <v>60</v>
      </c>
      <c r="AB549" t="str">
        <f t="shared" si="132"/>
        <v>28B0AA</v>
      </c>
    </row>
    <row r="550" spans="14:28">
      <c r="N550">
        <v>548</v>
      </c>
      <c r="O550">
        <f t="shared" si="124"/>
        <v>1480</v>
      </c>
      <c r="P550">
        <f t="shared" si="126"/>
        <v>5480</v>
      </c>
      <c r="Q550">
        <f t="shared" si="127"/>
        <v>20.6</v>
      </c>
      <c r="R550" s="4">
        <f t="shared" si="128"/>
        <v>7766990.2912621358</v>
      </c>
      <c r="S550" s="3">
        <f t="shared" si="129"/>
        <v>20.6</v>
      </c>
      <c r="T550" t="str">
        <f t="shared" si="130"/>
        <v>7683CE</v>
      </c>
      <c r="V550">
        <v>548</v>
      </c>
      <c r="W550">
        <f t="shared" si="121"/>
        <v>1280</v>
      </c>
      <c r="X550">
        <f t="shared" si="123"/>
        <v>5480</v>
      </c>
      <c r="Y550">
        <f t="shared" si="122"/>
        <v>60</v>
      </c>
      <c r="Z550" s="4">
        <f t="shared" si="131"/>
        <v>2666666.6666666665</v>
      </c>
      <c r="AA550" s="3">
        <f t="shared" si="131"/>
        <v>60</v>
      </c>
      <c r="AB550" t="str">
        <f t="shared" si="132"/>
        <v>28B0AA</v>
      </c>
    </row>
    <row r="551" spans="14:28">
      <c r="N551">
        <v>549</v>
      </c>
      <c r="O551">
        <f t="shared" si="124"/>
        <v>1490</v>
      </c>
      <c r="P551">
        <f t="shared" si="126"/>
        <v>5490</v>
      </c>
      <c r="Q551">
        <f t="shared" si="127"/>
        <v>12.8</v>
      </c>
      <c r="R551" s="4">
        <f t="shared" si="128"/>
        <v>12500000</v>
      </c>
      <c r="S551" s="3">
        <f t="shared" si="129"/>
        <v>12.8</v>
      </c>
      <c r="T551" t="str">
        <f t="shared" si="130"/>
        <v>BEBC20</v>
      </c>
      <c r="V551">
        <v>549</v>
      </c>
      <c r="W551">
        <f t="shared" si="121"/>
        <v>1290</v>
      </c>
      <c r="X551">
        <f t="shared" si="123"/>
        <v>5490</v>
      </c>
      <c r="Y551">
        <f t="shared" si="122"/>
        <v>60</v>
      </c>
      <c r="Z551" s="4">
        <f t="shared" si="131"/>
        <v>2666666.6666666665</v>
      </c>
      <c r="AA551" s="3">
        <f t="shared" si="131"/>
        <v>60</v>
      </c>
      <c r="AB551" t="str">
        <f t="shared" si="132"/>
        <v>28B0AA</v>
      </c>
    </row>
    <row r="552" spans="14:28">
      <c r="N552">
        <v>550</v>
      </c>
      <c r="O552">
        <f t="shared" si="124"/>
        <v>1500</v>
      </c>
      <c r="P552">
        <f t="shared" si="126"/>
        <v>5500</v>
      </c>
      <c r="Q552">
        <f t="shared" si="127"/>
        <v>5</v>
      </c>
      <c r="R552" s="4">
        <f t="shared" si="128"/>
        <v>32000000</v>
      </c>
      <c r="S552" s="3">
        <f t="shared" si="129"/>
        <v>5</v>
      </c>
      <c r="T552" t="str">
        <f t="shared" si="130"/>
        <v>1E84800</v>
      </c>
      <c r="V552">
        <v>550</v>
      </c>
      <c r="W552">
        <f t="shared" si="121"/>
        <v>1300</v>
      </c>
      <c r="X552">
        <f t="shared" si="123"/>
        <v>5500</v>
      </c>
      <c r="Y552">
        <f t="shared" si="122"/>
        <v>60</v>
      </c>
      <c r="Z552" s="4">
        <f t="shared" si="131"/>
        <v>2666666.6666666665</v>
      </c>
      <c r="AA552" s="3">
        <f t="shared" si="131"/>
        <v>60</v>
      </c>
      <c r="AB552" t="str">
        <f t="shared" si="132"/>
        <v>28B0AA</v>
      </c>
    </row>
    <row r="553" spans="14:28">
      <c r="N553">
        <v>551</v>
      </c>
      <c r="O553">
        <f t="shared" si="124"/>
        <v>1510</v>
      </c>
      <c r="P553">
        <f t="shared" si="126"/>
        <v>5510</v>
      </c>
      <c r="Q553">
        <f t="shared" si="127"/>
        <v>0</v>
      </c>
      <c r="R553" s="4">
        <f t="shared" si="128"/>
        <v>0</v>
      </c>
      <c r="S553" s="3">
        <f t="shared" si="129"/>
        <v>0</v>
      </c>
      <c r="T553" t="str">
        <f t="shared" si="130"/>
        <v>0</v>
      </c>
      <c r="V553">
        <v>551</v>
      </c>
      <c r="W553">
        <f t="shared" si="121"/>
        <v>1310</v>
      </c>
      <c r="X553">
        <f t="shared" si="123"/>
        <v>5510</v>
      </c>
      <c r="Y553">
        <f t="shared" si="122"/>
        <v>60</v>
      </c>
      <c r="Z553" s="4">
        <f t="shared" si="131"/>
        <v>2666666.6666666665</v>
      </c>
      <c r="AA553" s="3">
        <f t="shared" si="131"/>
        <v>60</v>
      </c>
      <c r="AB553" t="str">
        <f t="shared" si="132"/>
        <v>28B0AA</v>
      </c>
    </row>
    <row r="554" spans="14:28">
      <c r="N554">
        <v>552</v>
      </c>
      <c r="O554">
        <f t="shared" si="124"/>
        <v>1520</v>
      </c>
      <c r="P554">
        <f t="shared" si="126"/>
        <v>5520</v>
      </c>
      <c r="Q554">
        <f t="shared" si="127"/>
        <v>0</v>
      </c>
      <c r="R554" s="4">
        <f t="shared" si="128"/>
        <v>0</v>
      </c>
      <c r="S554" s="3">
        <f t="shared" si="129"/>
        <v>0</v>
      </c>
      <c r="T554" t="str">
        <f t="shared" si="130"/>
        <v>0</v>
      </c>
      <c r="V554">
        <v>552</v>
      </c>
      <c r="W554">
        <f t="shared" si="121"/>
        <v>1320</v>
      </c>
      <c r="X554">
        <f t="shared" si="123"/>
        <v>5520</v>
      </c>
      <c r="Y554">
        <f t="shared" si="122"/>
        <v>60</v>
      </c>
      <c r="Z554" s="4">
        <f t="shared" si="131"/>
        <v>2666666.6666666665</v>
      </c>
      <c r="AA554" s="3">
        <f t="shared" si="131"/>
        <v>60</v>
      </c>
      <c r="AB554" t="str">
        <f t="shared" si="132"/>
        <v>28B0AA</v>
      </c>
    </row>
    <row r="555" spans="14:28">
      <c r="N555">
        <v>553</v>
      </c>
      <c r="O555">
        <f t="shared" si="124"/>
        <v>1530</v>
      </c>
      <c r="P555">
        <f t="shared" si="126"/>
        <v>5530</v>
      </c>
      <c r="Q555">
        <f t="shared" si="127"/>
        <v>0</v>
      </c>
      <c r="R555" s="4">
        <f t="shared" si="128"/>
        <v>0</v>
      </c>
      <c r="S555" s="3">
        <f t="shared" si="129"/>
        <v>0</v>
      </c>
      <c r="T555" t="str">
        <f t="shared" si="130"/>
        <v>0</v>
      </c>
      <c r="V555">
        <v>553</v>
      </c>
      <c r="W555">
        <f t="shared" si="121"/>
        <v>1330</v>
      </c>
      <c r="X555">
        <f t="shared" si="123"/>
        <v>5530</v>
      </c>
      <c r="Y555">
        <f t="shared" si="122"/>
        <v>60</v>
      </c>
      <c r="Z555" s="4">
        <f t="shared" si="131"/>
        <v>2666666.6666666665</v>
      </c>
      <c r="AA555" s="3">
        <f t="shared" si="131"/>
        <v>60</v>
      </c>
      <c r="AB555" t="str">
        <f t="shared" si="132"/>
        <v>28B0AA</v>
      </c>
    </row>
    <row r="556" spans="14:28">
      <c r="N556">
        <v>554</v>
      </c>
      <c r="O556">
        <f t="shared" si="124"/>
        <v>1540</v>
      </c>
      <c r="P556">
        <f t="shared" si="126"/>
        <v>5540</v>
      </c>
      <c r="Q556">
        <f t="shared" si="127"/>
        <v>0</v>
      </c>
      <c r="R556" s="4">
        <f t="shared" si="128"/>
        <v>0</v>
      </c>
      <c r="S556" s="3">
        <f t="shared" si="129"/>
        <v>0</v>
      </c>
      <c r="T556" t="str">
        <f t="shared" si="130"/>
        <v>0</v>
      </c>
      <c r="V556">
        <v>554</v>
      </c>
      <c r="W556">
        <f t="shared" si="121"/>
        <v>1340</v>
      </c>
      <c r="X556">
        <f t="shared" si="123"/>
        <v>5540</v>
      </c>
      <c r="Y556">
        <f t="shared" si="122"/>
        <v>60</v>
      </c>
      <c r="Z556" s="4">
        <f t="shared" si="131"/>
        <v>2666666.6666666665</v>
      </c>
      <c r="AA556" s="3">
        <f t="shared" si="131"/>
        <v>60</v>
      </c>
      <c r="AB556" t="str">
        <f t="shared" si="132"/>
        <v>28B0AA</v>
      </c>
    </row>
    <row r="557" spans="14:28">
      <c r="N557">
        <v>555</v>
      </c>
      <c r="O557">
        <f t="shared" si="124"/>
        <v>1550</v>
      </c>
      <c r="P557">
        <f t="shared" si="126"/>
        <v>5550</v>
      </c>
      <c r="Q557">
        <f t="shared" si="127"/>
        <v>0</v>
      </c>
      <c r="R557" s="4">
        <f t="shared" si="128"/>
        <v>0</v>
      </c>
      <c r="S557" s="3">
        <f t="shared" si="129"/>
        <v>0</v>
      </c>
      <c r="T557" t="str">
        <f t="shared" si="130"/>
        <v>0</v>
      </c>
      <c r="V557">
        <v>555</v>
      </c>
      <c r="W557">
        <f t="shared" si="121"/>
        <v>1350</v>
      </c>
      <c r="X557">
        <f t="shared" si="123"/>
        <v>5550</v>
      </c>
      <c r="Y557">
        <f t="shared" si="122"/>
        <v>60</v>
      </c>
      <c r="Z557" s="4">
        <f t="shared" si="131"/>
        <v>2666666.6666666665</v>
      </c>
      <c r="AA557" s="3">
        <f t="shared" si="131"/>
        <v>60</v>
      </c>
      <c r="AB557" t="str">
        <f t="shared" si="132"/>
        <v>28B0AA</v>
      </c>
    </row>
    <row r="558" spans="14:28">
      <c r="N558">
        <v>556</v>
      </c>
      <c r="O558">
        <f t="shared" si="124"/>
        <v>1560</v>
      </c>
      <c r="P558">
        <f t="shared" si="126"/>
        <v>5560</v>
      </c>
      <c r="Q558">
        <f t="shared" si="127"/>
        <v>0</v>
      </c>
      <c r="R558" s="4">
        <f t="shared" si="128"/>
        <v>0</v>
      </c>
      <c r="S558" s="3">
        <f t="shared" si="129"/>
        <v>0</v>
      </c>
      <c r="T558" t="str">
        <f t="shared" si="130"/>
        <v>0</v>
      </c>
      <c r="V558">
        <v>556</v>
      </c>
      <c r="W558">
        <f t="shared" si="121"/>
        <v>1360</v>
      </c>
      <c r="X558">
        <f t="shared" si="123"/>
        <v>5560</v>
      </c>
      <c r="Y558">
        <f t="shared" si="122"/>
        <v>60</v>
      </c>
      <c r="Z558" s="4">
        <f t="shared" si="131"/>
        <v>2666666.6666666665</v>
      </c>
      <c r="AA558" s="3">
        <f t="shared" si="131"/>
        <v>60</v>
      </c>
      <c r="AB558" t="str">
        <f t="shared" si="132"/>
        <v>28B0AA</v>
      </c>
    </row>
    <row r="559" spans="14:28">
      <c r="N559">
        <v>557</v>
      </c>
      <c r="O559">
        <f t="shared" si="124"/>
        <v>1570</v>
      </c>
      <c r="P559">
        <f t="shared" si="126"/>
        <v>5570</v>
      </c>
      <c r="Q559">
        <f t="shared" si="127"/>
        <v>0</v>
      </c>
      <c r="R559" s="4">
        <f t="shared" si="128"/>
        <v>0</v>
      </c>
      <c r="S559" s="3">
        <f t="shared" si="129"/>
        <v>0</v>
      </c>
      <c r="T559" t="str">
        <f t="shared" si="130"/>
        <v>0</v>
      </c>
      <c r="V559">
        <v>557</v>
      </c>
      <c r="W559">
        <f t="shared" si="121"/>
        <v>1370</v>
      </c>
      <c r="X559">
        <f t="shared" si="123"/>
        <v>5570</v>
      </c>
      <c r="Y559">
        <f t="shared" si="122"/>
        <v>60</v>
      </c>
      <c r="Z559" s="4">
        <f t="shared" ref="Z559:AA578" si="133">IFERROR(160*1000*1000/Y559,0)</f>
        <v>2666666.6666666665</v>
      </c>
      <c r="AA559" s="3">
        <f t="shared" si="133"/>
        <v>60</v>
      </c>
      <c r="AB559" t="str">
        <f t="shared" si="132"/>
        <v>28B0AA</v>
      </c>
    </row>
    <row r="560" spans="14:28">
      <c r="N560">
        <v>558</v>
      </c>
      <c r="O560">
        <f t="shared" si="124"/>
        <v>1580</v>
      </c>
      <c r="P560">
        <f t="shared" si="126"/>
        <v>5580</v>
      </c>
      <c r="Q560">
        <f t="shared" si="127"/>
        <v>0</v>
      </c>
      <c r="R560" s="4">
        <f t="shared" si="128"/>
        <v>0</v>
      </c>
      <c r="S560" s="3">
        <f t="shared" si="129"/>
        <v>0</v>
      </c>
      <c r="T560" t="str">
        <f t="shared" si="130"/>
        <v>0</v>
      </c>
      <c r="V560">
        <v>558</v>
      </c>
      <c r="W560">
        <f t="shared" si="121"/>
        <v>1380</v>
      </c>
      <c r="X560">
        <f t="shared" si="123"/>
        <v>5580</v>
      </c>
      <c r="Y560">
        <f t="shared" si="122"/>
        <v>60</v>
      </c>
      <c r="Z560" s="4">
        <f t="shared" si="133"/>
        <v>2666666.6666666665</v>
      </c>
      <c r="AA560" s="3">
        <f t="shared" si="133"/>
        <v>60</v>
      </c>
      <c r="AB560" t="str">
        <f t="shared" si="132"/>
        <v>28B0AA</v>
      </c>
    </row>
    <row r="561" spans="14:28">
      <c r="N561">
        <v>559</v>
      </c>
      <c r="O561">
        <f t="shared" si="124"/>
        <v>1590</v>
      </c>
      <c r="P561">
        <f t="shared" si="126"/>
        <v>5590</v>
      </c>
      <c r="Q561">
        <f t="shared" si="127"/>
        <v>0</v>
      </c>
      <c r="R561" s="4">
        <f t="shared" si="128"/>
        <v>0</v>
      </c>
      <c r="S561" s="3">
        <f t="shared" si="129"/>
        <v>0</v>
      </c>
      <c r="T561" t="str">
        <f t="shared" si="130"/>
        <v>0</v>
      </c>
      <c r="V561">
        <v>559</v>
      </c>
      <c r="W561">
        <f t="shared" si="121"/>
        <v>1390</v>
      </c>
      <c r="X561">
        <f t="shared" si="123"/>
        <v>5590</v>
      </c>
      <c r="Y561">
        <f t="shared" si="122"/>
        <v>60</v>
      </c>
      <c r="Z561" s="4">
        <f t="shared" si="133"/>
        <v>2666666.6666666665</v>
      </c>
      <c r="AA561" s="3">
        <f t="shared" si="133"/>
        <v>60</v>
      </c>
      <c r="AB561" t="str">
        <f t="shared" si="132"/>
        <v>28B0AA</v>
      </c>
    </row>
    <row r="562" spans="14:28">
      <c r="N562">
        <v>560</v>
      </c>
      <c r="O562">
        <f t="shared" si="124"/>
        <v>1600</v>
      </c>
      <c r="P562">
        <f t="shared" si="126"/>
        <v>5600</v>
      </c>
      <c r="Q562">
        <f t="shared" si="127"/>
        <v>0</v>
      </c>
      <c r="R562" s="4">
        <f t="shared" si="128"/>
        <v>0</v>
      </c>
      <c r="S562" s="3">
        <f t="shared" si="129"/>
        <v>0</v>
      </c>
      <c r="T562" t="str">
        <f t="shared" si="130"/>
        <v>0</v>
      </c>
      <c r="V562">
        <v>560</v>
      </c>
      <c r="W562">
        <f t="shared" si="121"/>
        <v>1400</v>
      </c>
      <c r="X562">
        <f t="shared" si="123"/>
        <v>5600</v>
      </c>
      <c r="Y562">
        <f t="shared" si="122"/>
        <v>60</v>
      </c>
      <c r="Z562" s="4">
        <f t="shared" si="133"/>
        <v>2666666.6666666665</v>
      </c>
      <c r="AA562" s="3">
        <f t="shared" si="133"/>
        <v>60</v>
      </c>
      <c r="AB562" t="str">
        <f t="shared" si="132"/>
        <v>28B0AA</v>
      </c>
    </row>
    <row r="563" spans="14:28">
      <c r="N563">
        <v>561</v>
      </c>
      <c r="O563">
        <f t="shared" si="124"/>
        <v>1610</v>
      </c>
      <c r="P563">
        <f t="shared" si="126"/>
        <v>5610</v>
      </c>
      <c r="Q563">
        <f t="shared" si="127"/>
        <v>0</v>
      </c>
      <c r="R563" s="4">
        <f t="shared" si="128"/>
        <v>0</v>
      </c>
      <c r="S563" s="3">
        <f t="shared" si="129"/>
        <v>0</v>
      </c>
      <c r="T563" t="str">
        <f t="shared" si="130"/>
        <v>0</v>
      </c>
      <c r="V563">
        <v>561</v>
      </c>
      <c r="W563">
        <f t="shared" si="121"/>
        <v>1410</v>
      </c>
      <c r="X563">
        <f t="shared" si="123"/>
        <v>5610</v>
      </c>
      <c r="Y563">
        <f t="shared" si="122"/>
        <v>60</v>
      </c>
      <c r="Z563" s="4">
        <f t="shared" si="133"/>
        <v>2666666.6666666665</v>
      </c>
      <c r="AA563" s="3">
        <f t="shared" si="133"/>
        <v>60</v>
      </c>
      <c r="AB563" t="str">
        <f t="shared" si="132"/>
        <v>28B0AA</v>
      </c>
    </row>
    <row r="564" spans="14:28">
      <c r="N564">
        <v>562</v>
      </c>
      <c r="O564">
        <f t="shared" si="124"/>
        <v>1620</v>
      </c>
      <c r="P564">
        <f t="shared" si="126"/>
        <v>5620</v>
      </c>
      <c r="Q564">
        <f t="shared" si="127"/>
        <v>0</v>
      </c>
      <c r="R564" s="4">
        <f t="shared" si="128"/>
        <v>0</v>
      </c>
      <c r="S564" s="3">
        <f t="shared" si="129"/>
        <v>0</v>
      </c>
      <c r="T564" t="str">
        <f t="shared" si="130"/>
        <v>0</v>
      </c>
      <c r="V564">
        <v>562</v>
      </c>
      <c r="W564">
        <f t="shared" si="121"/>
        <v>1420</v>
      </c>
      <c r="X564">
        <f t="shared" si="123"/>
        <v>5620</v>
      </c>
      <c r="Y564">
        <f t="shared" si="122"/>
        <v>60</v>
      </c>
      <c r="Z564" s="4">
        <f t="shared" si="133"/>
        <v>2666666.6666666665</v>
      </c>
      <c r="AA564" s="3">
        <f t="shared" si="133"/>
        <v>60</v>
      </c>
      <c r="AB564" t="str">
        <f t="shared" si="132"/>
        <v>28B0AA</v>
      </c>
    </row>
    <row r="565" spans="14:28">
      <c r="N565">
        <v>563</v>
      </c>
      <c r="O565">
        <f t="shared" si="124"/>
        <v>1630</v>
      </c>
      <c r="P565">
        <f t="shared" si="126"/>
        <v>5630</v>
      </c>
      <c r="Q565">
        <f t="shared" si="127"/>
        <v>0</v>
      </c>
      <c r="R565" s="4">
        <f t="shared" si="128"/>
        <v>0</v>
      </c>
      <c r="S565" s="3">
        <f t="shared" si="129"/>
        <v>0</v>
      </c>
      <c r="T565" t="str">
        <f t="shared" si="130"/>
        <v>0</v>
      </c>
      <c r="V565">
        <v>563</v>
      </c>
      <c r="W565">
        <f t="shared" si="121"/>
        <v>1430</v>
      </c>
      <c r="X565">
        <f t="shared" si="123"/>
        <v>5630</v>
      </c>
      <c r="Y565">
        <f t="shared" si="122"/>
        <v>60</v>
      </c>
      <c r="Z565" s="4">
        <f t="shared" si="133"/>
        <v>2666666.6666666665</v>
      </c>
      <c r="AA565" s="3">
        <f t="shared" si="133"/>
        <v>60</v>
      </c>
      <c r="AB565" t="str">
        <f t="shared" si="132"/>
        <v>28B0AA</v>
      </c>
    </row>
    <row r="566" spans="14:28">
      <c r="N566">
        <v>564</v>
      </c>
      <c r="O566">
        <f t="shared" si="124"/>
        <v>1640</v>
      </c>
      <c r="P566">
        <f t="shared" si="126"/>
        <v>5640</v>
      </c>
      <c r="Q566">
        <f t="shared" si="127"/>
        <v>0</v>
      </c>
      <c r="R566" s="4">
        <f t="shared" si="128"/>
        <v>0</v>
      </c>
      <c r="S566" s="3">
        <f t="shared" si="129"/>
        <v>0</v>
      </c>
      <c r="T566" t="str">
        <f t="shared" si="130"/>
        <v>0</v>
      </c>
      <c r="V566">
        <v>564</v>
      </c>
      <c r="W566">
        <f t="shared" si="121"/>
        <v>1440</v>
      </c>
      <c r="X566">
        <f t="shared" si="123"/>
        <v>5640</v>
      </c>
      <c r="Y566">
        <f t="shared" si="122"/>
        <v>60</v>
      </c>
      <c r="Z566" s="4">
        <f t="shared" si="133"/>
        <v>2666666.6666666665</v>
      </c>
      <c r="AA566" s="3">
        <f t="shared" si="133"/>
        <v>60</v>
      </c>
      <c r="AB566" t="str">
        <f t="shared" si="132"/>
        <v>28B0AA</v>
      </c>
    </row>
    <row r="567" spans="14:28">
      <c r="N567">
        <v>565</v>
      </c>
      <c r="O567">
        <f t="shared" si="124"/>
        <v>1650</v>
      </c>
      <c r="P567">
        <f t="shared" si="126"/>
        <v>5650</v>
      </c>
      <c r="Q567">
        <f t="shared" si="127"/>
        <v>0</v>
      </c>
      <c r="R567" s="4">
        <f t="shared" si="128"/>
        <v>0</v>
      </c>
      <c r="S567" s="3">
        <f t="shared" si="129"/>
        <v>0</v>
      </c>
      <c r="T567" t="str">
        <f t="shared" si="130"/>
        <v>0</v>
      </c>
      <c r="V567">
        <v>565</v>
      </c>
      <c r="W567">
        <f t="shared" si="121"/>
        <v>1450</v>
      </c>
      <c r="X567">
        <f t="shared" si="123"/>
        <v>5650</v>
      </c>
      <c r="Y567">
        <f t="shared" si="122"/>
        <v>60</v>
      </c>
      <c r="Z567" s="4">
        <f t="shared" si="133"/>
        <v>2666666.6666666665</v>
      </c>
      <c r="AA567" s="3">
        <f t="shared" si="133"/>
        <v>60</v>
      </c>
      <c r="AB567" t="str">
        <f t="shared" si="132"/>
        <v>28B0AA</v>
      </c>
    </row>
    <row r="568" spans="14:28">
      <c r="N568">
        <v>566</v>
      </c>
      <c r="O568">
        <f t="shared" si="124"/>
        <v>1660</v>
      </c>
      <c r="P568">
        <f t="shared" si="126"/>
        <v>5660</v>
      </c>
      <c r="Q568">
        <f t="shared" si="127"/>
        <v>0</v>
      </c>
      <c r="R568" s="4">
        <f t="shared" si="128"/>
        <v>0</v>
      </c>
      <c r="S568" s="3">
        <f t="shared" si="129"/>
        <v>0</v>
      </c>
      <c r="T568" t="str">
        <f t="shared" si="130"/>
        <v>0</v>
      </c>
      <c r="V568">
        <v>566</v>
      </c>
      <c r="W568">
        <f t="shared" si="121"/>
        <v>1460</v>
      </c>
      <c r="X568">
        <f t="shared" si="123"/>
        <v>5660</v>
      </c>
      <c r="Y568">
        <f t="shared" si="122"/>
        <v>60</v>
      </c>
      <c r="Z568" s="4">
        <f t="shared" si="133"/>
        <v>2666666.6666666665</v>
      </c>
      <c r="AA568" s="3">
        <f t="shared" si="133"/>
        <v>60</v>
      </c>
      <c r="AB568" t="str">
        <f t="shared" si="132"/>
        <v>28B0AA</v>
      </c>
    </row>
    <row r="569" spans="14:28">
      <c r="N569">
        <v>567</v>
      </c>
      <c r="O569">
        <f t="shared" si="124"/>
        <v>1670</v>
      </c>
      <c r="P569">
        <f t="shared" si="126"/>
        <v>5670</v>
      </c>
      <c r="Q569">
        <f t="shared" si="127"/>
        <v>0</v>
      </c>
      <c r="R569" s="4">
        <f t="shared" si="128"/>
        <v>0</v>
      </c>
      <c r="S569" s="3">
        <f t="shared" si="129"/>
        <v>0</v>
      </c>
      <c r="T569" t="str">
        <f t="shared" si="130"/>
        <v>0</v>
      </c>
      <c r="V569">
        <v>567</v>
      </c>
      <c r="W569">
        <f t="shared" si="121"/>
        <v>1470</v>
      </c>
      <c r="X569">
        <f t="shared" si="123"/>
        <v>5670</v>
      </c>
      <c r="Y569">
        <f t="shared" si="122"/>
        <v>60</v>
      </c>
      <c r="Z569" s="4">
        <f t="shared" si="133"/>
        <v>2666666.6666666665</v>
      </c>
      <c r="AA569" s="3">
        <f t="shared" si="133"/>
        <v>60</v>
      </c>
      <c r="AB569" t="str">
        <f t="shared" si="132"/>
        <v>28B0AA</v>
      </c>
    </row>
    <row r="570" spans="14:28">
      <c r="N570">
        <v>568</v>
      </c>
      <c r="O570">
        <f t="shared" si="124"/>
        <v>1680</v>
      </c>
      <c r="P570">
        <f t="shared" si="126"/>
        <v>5680</v>
      </c>
      <c r="Q570">
        <f t="shared" si="127"/>
        <v>0</v>
      </c>
      <c r="R570" s="4">
        <f t="shared" si="128"/>
        <v>0</v>
      </c>
      <c r="S570" s="3">
        <f t="shared" si="129"/>
        <v>0</v>
      </c>
      <c r="T570" t="str">
        <f t="shared" si="130"/>
        <v>0</v>
      </c>
      <c r="V570">
        <v>568</v>
      </c>
      <c r="W570">
        <f t="shared" si="121"/>
        <v>1480</v>
      </c>
      <c r="X570">
        <f t="shared" si="123"/>
        <v>5680</v>
      </c>
      <c r="Y570">
        <f t="shared" si="122"/>
        <v>60</v>
      </c>
      <c r="Z570" s="4">
        <f t="shared" si="133"/>
        <v>2666666.6666666665</v>
      </c>
      <c r="AA570" s="3">
        <f t="shared" si="133"/>
        <v>60</v>
      </c>
      <c r="AB570" t="str">
        <f t="shared" si="132"/>
        <v>28B0AA</v>
      </c>
    </row>
    <row r="571" spans="14:28">
      <c r="N571">
        <v>569</v>
      </c>
      <c r="O571">
        <f t="shared" si="124"/>
        <v>1690</v>
      </c>
      <c r="P571">
        <f t="shared" si="126"/>
        <v>5690</v>
      </c>
      <c r="Q571">
        <f t="shared" si="127"/>
        <v>0</v>
      </c>
      <c r="R571" s="4">
        <f t="shared" si="128"/>
        <v>0</v>
      </c>
      <c r="S571" s="3">
        <f t="shared" si="129"/>
        <v>0</v>
      </c>
      <c r="T571" t="str">
        <f t="shared" si="130"/>
        <v>0</v>
      </c>
      <c r="V571">
        <v>569</v>
      </c>
      <c r="W571">
        <f t="shared" si="121"/>
        <v>1490</v>
      </c>
      <c r="X571">
        <f t="shared" si="123"/>
        <v>5690</v>
      </c>
      <c r="Y571">
        <f t="shared" si="122"/>
        <v>60</v>
      </c>
      <c r="Z571" s="4">
        <f t="shared" si="133"/>
        <v>2666666.6666666665</v>
      </c>
      <c r="AA571" s="3">
        <f t="shared" si="133"/>
        <v>60</v>
      </c>
      <c r="AB571" t="str">
        <f t="shared" si="132"/>
        <v>28B0AA</v>
      </c>
    </row>
    <row r="572" spans="14:28">
      <c r="N572">
        <v>570</v>
      </c>
      <c r="O572">
        <f t="shared" si="124"/>
        <v>1700</v>
      </c>
      <c r="P572">
        <f t="shared" si="126"/>
        <v>5700</v>
      </c>
      <c r="Q572">
        <f t="shared" si="127"/>
        <v>0</v>
      </c>
      <c r="R572" s="4">
        <f t="shared" si="128"/>
        <v>0</v>
      </c>
      <c r="S572" s="3">
        <f t="shared" si="129"/>
        <v>0</v>
      </c>
      <c r="T572" t="str">
        <f t="shared" si="130"/>
        <v>0</v>
      </c>
      <c r="V572">
        <v>570</v>
      </c>
      <c r="W572">
        <f t="shared" si="121"/>
        <v>1500</v>
      </c>
      <c r="X572">
        <f t="shared" si="123"/>
        <v>5700</v>
      </c>
      <c r="Y572">
        <f t="shared" si="122"/>
        <v>60</v>
      </c>
      <c r="Z572" s="4">
        <f t="shared" si="133"/>
        <v>2666666.6666666665</v>
      </c>
      <c r="AA572" s="3">
        <f t="shared" si="133"/>
        <v>60</v>
      </c>
      <c r="AB572" t="str">
        <f t="shared" si="132"/>
        <v>28B0AA</v>
      </c>
    </row>
    <row r="573" spans="14:28">
      <c r="N573">
        <v>571</v>
      </c>
      <c r="O573">
        <f t="shared" si="124"/>
        <v>1710</v>
      </c>
      <c r="P573">
        <f t="shared" si="126"/>
        <v>5710</v>
      </c>
      <c r="Q573">
        <f t="shared" si="127"/>
        <v>0</v>
      </c>
      <c r="R573" s="4">
        <f t="shared" si="128"/>
        <v>0</v>
      </c>
      <c r="S573" s="3">
        <f t="shared" si="129"/>
        <v>0</v>
      </c>
      <c r="T573" t="str">
        <f t="shared" si="130"/>
        <v>0</v>
      </c>
      <c r="V573">
        <v>571</v>
      </c>
      <c r="W573">
        <f t="shared" si="121"/>
        <v>1510</v>
      </c>
      <c r="X573">
        <f t="shared" si="123"/>
        <v>5710</v>
      </c>
      <c r="Y573">
        <f t="shared" si="122"/>
        <v>60</v>
      </c>
      <c r="Z573" s="4">
        <f t="shared" si="133"/>
        <v>2666666.6666666665</v>
      </c>
      <c r="AA573" s="3">
        <f t="shared" si="133"/>
        <v>60</v>
      </c>
      <c r="AB573" t="str">
        <f t="shared" si="132"/>
        <v>28B0AA</v>
      </c>
    </row>
    <row r="574" spans="14:28">
      <c r="N574">
        <v>572</v>
      </c>
      <c r="O574">
        <f t="shared" si="124"/>
        <v>1720</v>
      </c>
      <c r="P574">
        <f t="shared" si="126"/>
        <v>5720</v>
      </c>
      <c r="Q574">
        <f t="shared" si="127"/>
        <v>0</v>
      </c>
      <c r="R574" s="4">
        <f t="shared" si="128"/>
        <v>0</v>
      </c>
      <c r="S574" s="3">
        <f t="shared" si="129"/>
        <v>0</v>
      </c>
      <c r="T574" t="str">
        <f t="shared" si="130"/>
        <v>0</v>
      </c>
      <c r="V574">
        <v>572</v>
      </c>
      <c r="W574">
        <f t="shared" si="121"/>
        <v>1520</v>
      </c>
      <c r="X574">
        <f t="shared" si="123"/>
        <v>5720</v>
      </c>
      <c r="Y574">
        <f t="shared" si="122"/>
        <v>60</v>
      </c>
      <c r="Z574" s="4">
        <f t="shared" si="133"/>
        <v>2666666.6666666665</v>
      </c>
      <c r="AA574" s="3">
        <f t="shared" si="133"/>
        <v>60</v>
      </c>
      <c r="AB574" t="str">
        <f t="shared" si="132"/>
        <v>28B0AA</v>
      </c>
    </row>
    <row r="575" spans="14:28">
      <c r="N575">
        <v>573</v>
      </c>
      <c r="O575">
        <f t="shared" si="124"/>
        <v>1730</v>
      </c>
      <c r="P575">
        <f t="shared" si="126"/>
        <v>5730</v>
      </c>
      <c r="Q575">
        <f t="shared" si="127"/>
        <v>0</v>
      </c>
      <c r="R575" s="4">
        <f t="shared" si="128"/>
        <v>0</v>
      </c>
      <c r="S575" s="3">
        <f t="shared" si="129"/>
        <v>0</v>
      </c>
      <c r="T575" t="str">
        <f t="shared" si="130"/>
        <v>0</v>
      </c>
      <c r="V575">
        <v>573</v>
      </c>
      <c r="W575">
        <f t="shared" ref="W575:W638" si="134">MOD(X575,$A$14+$A$15)</f>
        <v>1530</v>
      </c>
      <c r="X575">
        <f t="shared" si="123"/>
        <v>5730</v>
      </c>
      <c r="Y575">
        <f t="shared" ref="Y575:Y638" si="135">IF(W575&gt;$A$14,0,IF(W575&lt;$A$13,W575/($A$13)*($A$11-$A$12)+$A$12,IF($A$14-W575&lt;$A$13,($A$14-W575)/($A$13)*($A$11-$A$12)+$A$12,$A$11)))</f>
        <v>60</v>
      </c>
      <c r="Z575" s="4">
        <f t="shared" si="133"/>
        <v>2666666.6666666665</v>
      </c>
      <c r="AA575" s="3">
        <f t="shared" si="133"/>
        <v>60</v>
      </c>
      <c r="AB575" t="str">
        <f t="shared" si="132"/>
        <v>28B0AA</v>
      </c>
    </row>
    <row r="576" spans="14:28">
      <c r="N576">
        <v>574</v>
      </c>
      <c r="O576">
        <f t="shared" si="124"/>
        <v>1740</v>
      </c>
      <c r="P576">
        <f t="shared" si="126"/>
        <v>5740</v>
      </c>
      <c r="Q576">
        <f t="shared" si="127"/>
        <v>0</v>
      </c>
      <c r="R576" s="4">
        <f t="shared" si="128"/>
        <v>0</v>
      </c>
      <c r="S576" s="3">
        <f t="shared" si="129"/>
        <v>0</v>
      </c>
      <c r="T576" t="str">
        <f t="shared" si="130"/>
        <v>0</v>
      </c>
      <c r="V576">
        <v>574</v>
      </c>
      <c r="W576">
        <f t="shared" si="134"/>
        <v>1540</v>
      </c>
      <c r="X576">
        <f t="shared" ref="X576:X639" si="136">V576*10</f>
        <v>5740</v>
      </c>
      <c r="Y576">
        <f t="shared" si="135"/>
        <v>60</v>
      </c>
      <c r="Z576" s="4">
        <f t="shared" si="133"/>
        <v>2666666.6666666665</v>
      </c>
      <c r="AA576" s="3">
        <f t="shared" si="133"/>
        <v>60</v>
      </c>
      <c r="AB576" t="str">
        <f t="shared" si="132"/>
        <v>28B0AA</v>
      </c>
    </row>
    <row r="577" spans="14:28">
      <c r="N577">
        <v>575</v>
      </c>
      <c r="O577">
        <f t="shared" si="124"/>
        <v>1750</v>
      </c>
      <c r="P577">
        <f t="shared" si="126"/>
        <v>5750</v>
      </c>
      <c r="Q577">
        <f t="shared" si="127"/>
        <v>0</v>
      </c>
      <c r="R577" s="4">
        <f t="shared" si="128"/>
        <v>0</v>
      </c>
      <c r="S577" s="3">
        <f t="shared" si="129"/>
        <v>0</v>
      </c>
      <c r="T577" t="str">
        <f t="shared" si="130"/>
        <v>0</v>
      </c>
      <c r="V577">
        <v>575</v>
      </c>
      <c r="W577">
        <f t="shared" si="134"/>
        <v>1550</v>
      </c>
      <c r="X577">
        <f t="shared" si="136"/>
        <v>5750</v>
      </c>
      <c r="Y577">
        <f t="shared" si="135"/>
        <v>60</v>
      </c>
      <c r="Z577" s="4">
        <f t="shared" si="133"/>
        <v>2666666.6666666665</v>
      </c>
      <c r="AA577" s="3">
        <f t="shared" si="133"/>
        <v>60</v>
      </c>
      <c r="AB577" t="str">
        <f t="shared" si="132"/>
        <v>28B0AA</v>
      </c>
    </row>
    <row r="578" spans="14:28">
      <c r="N578">
        <v>576</v>
      </c>
      <c r="O578">
        <f t="shared" si="124"/>
        <v>1760</v>
      </c>
      <c r="P578">
        <f t="shared" si="126"/>
        <v>5760</v>
      </c>
      <c r="Q578">
        <f t="shared" si="127"/>
        <v>0</v>
      </c>
      <c r="R578" s="4">
        <f t="shared" si="128"/>
        <v>0</v>
      </c>
      <c r="S578" s="3">
        <f t="shared" si="129"/>
        <v>0</v>
      </c>
      <c r="T578" t="str">
        <f t="shared" si="130"/>
        <v>0</v>
      </c>
      <c r="V578">
        <v>576</v>
      </c>
      <c r="W578">
        <f t="shared" si="134"/>
        <v>1560</v>
      </c>
      <c r="X578">
        <f t="shared" si="136"/>
        <v>5760</v>
      </c>
      <c r="Y578">
        <f t="shared" si="135"/>
        <v>60</v>
      </c>
      <c r="Z578" s="4">
        <f t="shared" si="133"/>
        <v>2666666.6666666665</v>
      </c>
      <c r="AA578" s="3">
        <f t="shared" si="133"/>
        <v>60</v>
      </c>
      <c r="AB578" t="str">
        <f t="shared" si="132"/>
        <v>28B0AA</v>
      </c>
    </row>
    <row r="579" spans="14:28">
      <c r="N579">
        <v>577</v>
      </c>
      <c r="O579">
        <f t="shared" ref="O579:O642" si="137">MOD(P579,$A$5+$A$6)</f>
        <v>1770</v>
      </c>
      <c r="P579">
        <f t="shared" si="126"/>
        <v>5770</v>
      </c>
      <c r="Q579">
        <f t="shared" si="127"/>
        <v>0</v>
      </c>
      <c r="R579" s="4">
        <f t="shared" si="128"/>
        <v>0</v>
      </c>
      <c r="S579" s="3">
        <f t="shared" si="129"/>
        <v>0</v>
      </c>
      <c r="T579" t="str">
        <f t="shared" si="130"/>
        <v>0</v>
      </c>
      <c r="V579">
        <v>577</v>
      </c>
      <c r="W579">
        <f t="shared" si="134"/>
        <v>1570</v>
      </c>
      <c r="X579">
        <f t="shared" si="136"/>
        <v>5770</v>
      </c>
      <c r="Y579">
        <f t="shared" si="135"/>
        <v>60</v>
      </c>
      <c r="Z579" s="4">
        <f t="shared" ref="Z579:AA598" si="138">IFERROR(160*1000*1000/Y579,0)</f>
        <v>2666666.6666666665</v>
      </c>
      <c r="AA579" s="3">
        <f t="shared" si="138"/>
        <v>60</v>
      </c>
      <c r="AB579" t="str">
        <f t="shared" si="132"/>
        <v>28B0AA</v>
      </c>
    </row>
    <row r="580" spans="14:28">
      <c r="N580">
        <v>578</v>
      </c>
      <c r="O580">
        <f t="shared" si="137"/>
        <v>1780</v>
      </c>
      <c r="P580">
        <f t="shared" si="126"/>
        <v>5780</v>
      </c>
      <c r="Q580">
        <f t="shared" si="127"/>
        <v>0</v>
      </c>
      <c r="R580" s="4">
        <f t="shared" si="128"/>
        <v>0</v>
      </c>
      <c r="S580" s="3">
        <f t="shared" si="129"/>
        <v>0</v>
      </c>
      <c r="T580" t="str">
        <f t="shared" si="130"/>
        <v>0</v>
      </c>
      <c r="V580">
        <v>578</v>
      </c>
      <c r="W580">
        <f t="shared" si="134"/>
        <v>1580</v>
      </c>
      <c r="X580">
        <f t="shared" si="136"/>
        <v>5780</v>
      </c>
      <c r="Y580">
        <f t="shared" si="135"/>
        <v>60</v>
      </c>
      <c r="Z580" s="4">
        <f t="shared" si="138"/>
        <v>2666666.6666666665</v>
      </c>
      <c r="AA580" s="3">
        <f t="shared" si="138"/>
        <v>60</v>
      </c>
      <c r="AB580" t="str">
        <f t="shared" si="132"/>
        <v>28B0AA</v>
      </c>
    </row>
    <row r="581" spans="14:28">
      <c r="N581">
        <v>579</v>
      </c>
      <c r="O581">
        <f t="shared" si="137"/>
        <v>1790</v>
      </c>
      <c r="P581">
        <f t="shared" si="126"/>
        <v>5790</v>
      </c>
      <c r="Q581">
        <f t="shared" si="127"/>
        <v>0</v>
      </c>
      <c r="R581" s="4">
        <f t="shared" si="128"/>
        <v>0</v>
      </c>
      <c r="S581" s="3">
        <f t="shared" si="129"/>
        <v>0</v>
      </c>
      <c r="T581" t="str">
        <f t="shared" si="130"/>
        <v>0</v>
      </c>
      <c r="V581">
        <v>579</v>
      </c>
      <c r="W581">
        <f t="shared" si="134"/>
        <v>1590</v>
      </c>
      <c r="X581">
        <f t="shared" si="136"/>
        <v>5790</v>
      </c>
      <c r="Y581">
        <f t="shared" si="135"/>
        <v>60</v>
      </c>
      <c r="Z581" s="4">
        <f t="shared" si="138"/>
        <v>2666666.6666666665</v>
      </c>
      <c r="AA581" s="3">
        <f t="shared" si="138"/>
        <v>60</v>
      </c>
      <c r="AB581" t="str">
        <f t="shared" si="132"/>
        <v>28B0AA</v>
      </c>
    </row>
    <row r="582" spans="14:28">
      <c r="N582">
        <v>580</v>
      </c>
      <c r="O582">
        <f t="shared" si="137"/>
        <v>1800</v>
      </c>
      <c r="P582">
        <f t="shared" si="126"/>
        <v>5800</v>
      </c>
      <c r="Q582">
        <f t="shared" si="127"/>
        <v>0</v>
      </c>
      <c r="R582" s="4">
        <f t="shared" si="128"/>
        <v>0</v>
      </c>
      <c r="S582" s="3">
        <f t="shared" si="129"/>
        <v>0</v>
      </c>
      <c r="T582" t="str">
        <f t="shared" si="130"/>
        <v>0</v>
      </c>
      <c r="V582">
        <v>580</v>
      </c>
      <c r="W582">
        <f t="shared" si="134"/>
        <v>1600</v>
      </c>
      <c r="X582">
        <f t="shared" si="136"/>
        <v>5800</v>
      </c>
      <c r="Y582">
        <f t="shared" si="135"/>
        <v>60</v>
      </c>
      <c r="Z582" s="4">
        <f t="shared" si="138"/>
        <v>2666666.6666666665</v>
      </c>
      <c r="AA582" s="3">
        <f t="shared" si="138"/>
        <v>60</v>
      </c>
      <c r="AB582" t="str">
        <f t="shared" si="132"/>
        <v>28B0AA</v>
      </c>
    </row>
    <row r="583" spans="14:28">
      <c r="N583">
        <v>581</v>
      </c>
      <c r="O583">
        <f t="shared" si="137"/>
        <v>1810</v>
      </c>
      <c r="P583">
        <f t="shared" si="126"/>
        <v>5810</v>
      </c>
      <c r="Q583">
        <f t="shared" si="127"/>
        <v>0</v>
      </c>
      <c r="R583" s="4">
        <f t="shared" si="128"/>
        <v>0</v>
      </c>
      <c r="S583" s="3">
        <f t="shared" si="129"/>
        <v>0</v>
      </c>
      <c r="T583" t="str">
        <f t="shared" si="130"/>
        <v>0</v>
      </c>
      <c r="V583">
        <v>581</v>
      </c>
      <c r="W583">
        <f t="shared" si="134"/>
        <v>1610</v>
      </c>
      <c r="X583">
        <f t="shared" si="136"/>
        <v>5810</v>
      </c>
      <c r="Y583">
        <f t="shared" si="135"/>
        <v>60</v>
      </c>
      <c r="Z583" s="4">
        <f t="shared" si="138"/>
        <v>2666666.6666666665</v>
      </c>
      <c r="AA583" s="3">
        <f t="shared" si="138"/>
        <v>60</v>
      </c>
      <c r="AB583" t="str">
        <f t="shared" si="132"/>
        <v>28B0AA</v>
      </c>
    </row>
    <row r="584" spans="14:28">
      <c r="N584">
        <v>582</v>
      </c>
      <c r="O584">
        <f t="shared" si="137"/>
        <v>1820</v>
      </c>
      <c r="P584">
        <f t="shared" si="126"/>
        <v>5820</v>
      </c>
      <c r="Q584">
        <f t="shared" si="127"/>
        <v>0</v>
      </c>
      <c r="R584" s="4">
        <f t="shared" si="128"/>
        <v>0</v>
      </c>
      <c r="S584" s="3">
        <f t="shared" si="129"/>
        <v>0</v>
      </c>
      <c r="T584" t="str">
        <f t="shared" si="130"/>
        <v>0</v>
      </c>
      <c r="V584">
        <v>582</v>
      </c>
      <c r="W584">
        <f t="shared" si="134"/>
        <v>1620</v>
      </c>
      <c r="X584">
        <f t="shared" si="136"/>
        <v>5820</v>
      </c>
      <c r="Y584">
        <f t="shared" si="135"/>
        <v>60</v>
      </c>
      <c r="Z584" s="4">
        <f t="shared" si="138"/>
        <v>2666666.6666666665</v>
      </c>
      <c r="AA584" s="3">
        <f t="shared" si="138"/>
        <v>60</v>
      </c>
      <c r="AB584" t="str">
        <f t="shared" si="132"/>
        <v>28B0AA</v>
      </c>
    </row>
    <row r="585" spans="14:28">
      <c r="N585">
        <v>583</v>
      </c>
      <c r="O585">
        <f t="shared" si="137"/>
        <v>1830</v>
      </c>
      <c r="P585">
        <f t="shared" si="126"/>
        <v>5830</v>
      </c>
      <c r="Q585">
        <f t="shared" si="127"/>
        <v>0</v>
      </c>
      <c r="R585" s="4">
        <f t="shared" si="128"/>
        <v>0</v>
      </c>
      <c r="S585" s="3">
        <f t="shared" si="129"/>
        <v>0</v>
      </c>
      <c r="T585" t="str">
        <f t="shared" si="130"/>
        <v>0</v>
      </c>
      <c r="V585">
        <v>583</v>
      </c>
      <c r="W585">
        <f t="shared" si="134"/>
        <v>1630</v>
      </c>
      <c r="X585">
        <f t="shared" si="136"/>
        <v>5830</v>
      </c>
      <c r="Y585">
        <f t="shared" si="135"/>
        <v>60</v>
      </c>
      <c r="Z585" s="4">
        <f t="shared" si="138"/>
        <v>2666666.6666666665</v>
      </c>
      <c r="AA585" s="3">
        <f t="shared" si="138"/>
        <v>60</v>
      </c>
      <c r="AB585" t="str">
        <f t="shared" si="132"/>
        <v>28B0AA</v>
      </c>
    </row>
    <row r="586" spans="14:28">
      <c r="N586">
        <v>584</v>
      </c>
      <c r="O586">
        <f t="shared" si="137"/>
        <v>1840</v>
      </c>
      <c r="P586">
        <f t="shared" si="126"/>
        <v>5840</v>
      </c>
      <c r="Q586">
        <f t="shared" si="127"/>
        <v>0</v>
      </c>
      <c r="R586" s="4">
        <f t="shared" si="128"/>
        <v>0</v>
      </c>
      <c r="S586" s="3">
        <f t="shared" si="129"/>
        <v>0</v>
      </c>
      <c r="T586" t="str">
        <f t="shared" si="130"/>
        <v>0</v>
      </c>
      <c r="V586">
        <v>584</v>
      </c>
      <c r="W586">
        <f t="shared" si="134"/>
        <v>1640</v>
      </c>
      <c r="X586">
        <f t="shared" si="136"/>
        <v>5840</v>
      </c>
      <c r="Y586">
        <f t="shared" si="135"/>
        <v>60</v>
      </c>
      <c r="Z586" s="4">
        <f t="shared" si="138"/>
        <v>2666666.6666666665</v>
      </c>
      <c r="AA586" s="3">
        <f t="shared" si="138"/>
        <v>60</v>
      </c>
      <c r="AB586" t="str">
        <f t="shared" si="132"/>
        <v>28B0AA</v>
      </c>
    </row>
    <row r="587" spans="14:28">
      <c r="N587">
        <v>585</v>
      </c>
      <c r="O587">
        <f t="shared" si="137"/>
        <v>1850</v>
      </c>
      <c r="P587">
        <f t="shared" ref="P587:P650" si="139">N587*10</f>
        <v>5850</v>
      </c>
      <c r="Q587">
        <f t="shared" ref="Q587:Q650" si="140">IF(O587&gt;$A$5,0,IF(O587&lt;$A$4,O587/($A$4)*($A$2-$A$3)+$A$3,IF($A$5-O587&lt;$A$4,($A$5-O587)/($A$4)*($A$2-$A$3)+$A$3,$A$2)))</f>
        <v>0</v>
      </c>
      <c r="R587" s="4">
        <f t="shared" ref="R587:R650" si="141">IFERROR(160*1000*1000/Q587,0)</f>
        <v>0</v>
      </c>
      <c r="S587" s="3">
        <f t="shared" ref="S587:S650" si="142">IFERROR(160*1000*1000/R587,0)</f>
        <v>0</v>
      </c>
      <c r="T587" t="str">
        <f t="shared" ref="T587:T650" si="143">DEC2HEX(R587)</f>
        <v>0</v>
      </c>
      <c r="V587">
        <v>585</v>
      </c>
      <c r="W587">
        <f t="shared" si="134"/>
        <v>1650</v>
      </c>
      <c r="X587">
        <f t="shared" si="136"/>
        <v>5850</v>
      </c>
      <c r="Y587">
        <f t="shared" si="135"/>
        <v>60</v>
      </c>
      <c r="Z587" s="4">
        <f t="shared" si="138"/>
        <v>2666666.6666666665</v>
      </c>
      <c r="AA587" s="3">
        <f t="shared" si="138"/>
        <v>60</v>
      </c>
      <c r="AB587" t="str">
        <f t="shared" si="132"/>
        <v>28B0AA</v>
      </c>
    </row>
    <row r="588" spans="14:28">
      <c r="N588">
        <v>586</v>
      </c>
      <c r="O588">
        <f t="shared" si="137"/>
        <v>1860</v>
      </c>
      <c r="P588">
        <f t="shared" si="139"/>
        <v>5860</v>
      </c>
      <c r="Q588">
        <f t="shared" si="140"/>
        <v>0</v>
      </c>
      <c r="R588" s="4">
        <f t="shared" si="141"/>
        <v>0</v>
      </c>
      <c r="S588" s="3">
        <f t="shared" si="142"/>
        <v>0</v>
      </c>
      <c r="T588" t="str">
        <f t="shared" si="143"/>
        <v>0</v>
      </c>
      <c r="V588">
        <v>586</v>
      </c>
      <c r="W588">
        <f t="shared" si="134"/>
        <v>1660</v>
      </c>
      <c r="X588">
        <f t="shared" si="136"/>
        <v>5860</v>
      </c>
      <c r="Y588">
        <f t="shared" si="135"/>
        <v>60</v>
      </c>
      <c r="Z588" s="4">
        <f t="shared" si="138"/>
        <v>2666666.6666666665</v>
      </c>
      <c r="AA588" s="3">
        <f t="shared" si="138"/>
        <v>60</v>
      </c>
      <c r="AB588" t="str">
        <f t="shared" si="132"/>
        <v>28B0AA</v>
      </c>
    </row>
    <row r="589" spans="14:28">
      <c r="N589">
        <v>587</v>
      </c>
      <c r="O589">
        <f t="shared" si="137"/>
        <v>1870</v>
      </c>
      <c r="P589">
        <f t="shared" si="139"/>
        <v>5870</v>
      </c>
      <c r="Q589">
        <f t="shared" si="140"/>
        <v>0</v>
      </c>
      <c r="R589" s="4">
        <f t="shared" si="141"/>
        <v>0</v>
      </c>
      <c r="S589" s="3">
        <f t="shared" si="142"/>
        <v>0</v>
      </c>
      <c r="T589" t="str">
        <f t="shared" si="143"/>
        <v>0</v>
      </c>
      <c r="V589">
        <v>587</v>
      </c>
      <c r="W589">
        <f t="shared" si="134"/>
        <v>1670</v>
      </c>
      <c r="X589">
        <f t="shared" si="136"/>
        <v>5870</v>
      </c>
      <c r="Y589">
        <f t="shared" si="135"/>
        <v>60</v>
      </c>
      <c r="Z589" s="4">
        <f t="shared" si="138"/>
        <v>2666666.6666666665</v>
      </c>
      <c r="AA589" s="3">
        <f t="shared" si="138"/>
        <v>60</v>
      </c>
      <c r="AB589" t="str">
        <f t="shared" si="132"/>
        <v>28B0AA</v>
      </c>
    </row>
    <row r="590" spans="14:28">
      <c r="N590">
        <v>588</v>
      </c>
      <c r="O590">
        <f t="shared" si="137"/>
        <v>1880</v>
      </c>
      <c r="P590">
        <f t="shared" si="139"/>
        <v>5880</v>
      </c>
      <c r="Q590">
        <f t="shared" si="140"/>
        <v>0</v>
      </c>
      <c r="R590" s="4">
        <f t="shared" si="141"/>
        <v>0</v>
      </c>
      <c r="S590" s="3">
        <f t="shared" si="142"/>
        <v>0</v>
      </c>
      <c r="T590" t="str">
        <f t="shared" si="143"/>
        <v>0</v>
      </c>
      <c r="V590">
        <v>588</v>
      </c>
      <c r="W590">
        <f t="shared" si="134"/>
        <v>1680</v>
      </c>
      <c r="X590">
        <f t="shared" si="136"/>
        <v>5880</v>
      </c>
      <c r="Y590">
        <f t="shared" si="135"/>
        <v>60</v>
      </c>
      <c r="Z590" s="4">
        <f t="shared" si="138"/>
        <v>2666666.6666666665</v>
      </c>
      <c r="AA590" s="3">
        <f t="shared" si="138"/>
        <v>60</v>
      </c>
      <c r="AB590" t="str">
        <f t="shared" si="132"/>
        <v>28B0AA</v>
      </c>
    </row>
    <row r="591" spans="14:28">
      <c r="N591">
        <v>589</v>
      </c>
      <c r="O591">
        <f t="shared" si="137"/>
        <v>1890</v>
      </c>
      <c r="P591">
        <f t="shared" si="139"/>
        <v>5890</v>
      </c>
      <c r="Q591">
        <f t="shared" si="140"/>
        <v>0</v>
      </c>
      <c r="R591" s="4">
        <f t="shared" si="141"/>
        <v>0</v>
      </c>
      <c r="S591" s="3">
        <f t="shared" si="142"/>
        <v>0</v>
      </c>
      <c r="T591" t="str">
        <f t="shared" si="143"/>
        <v>0</v>
      </c>
      <c r="V591">
        <v>589</v>
      </c>
      <c r="W591">
        <f t="shared" si="134"/>
        <v>1690</v>
      </c>
      <c r="X591">
        <f t="shared" si="136"/>
        <v>5890</v>
      </c>
      <c r="Y591">
        <f t="shared" si="135"/>
        <v>60</v>
      </c>
      <c r="Z591" s="4">
        <f t="shared" si="138"/>
        <v>2666666.6666666665</v>
      </c>
      <c r="AA591" s="3">
        <f t="shared" si="138"/>
        <v>60</v>
      </c>
      <c r="AB591" t="str">
        <f t="shared" si="132"/>
        <v>28B0AA</v>
      </c>
    </row>
    <row r="592" spans="14:28">
      <c r="N592">
        <v>590</v>
      </c>
      <c r="O592">
        <f t="shared" si="137"/>
        <v>1900</v>
      </c>
      <c r="P592">
        <f t="shared" si="139"/>
        <v>5900</v>
      </c>
      <c r="Q592">
        <f t="shared" si="140"/>
        <v>0</v>
      </c>
      <c r="R592" s="4">
        <f t="shared" si="141"/>
        <v>0</v>
      </c>
      <c r="S592" s="3">
        <f t="shared" si="142"/>
        <v>0</v>
      </c>
      <c r="T592" t="str">
        <f t="shared" si="143"/>
        <v>0</v>
      </c>
      <c r="V592">
        <v>590</v>
      </c>
      <c r="W592">
        <f t="shared" si="134"/>
        <v>1700</v>
      </c>
      <c r="X592">
        <f t="shared" si="136"/>
        <v>5900</v>
      </c>
      <c r="Y592">
        <f t="shared" si="135"/>
        <v>60</v>
      </c>
      <c r="Z592" s="4">
        <f t="shared" si="138"/>
        <v>2666666.6666666665</v>
      </c>
      <c r="AA592" s="3">
        <f t="shared" si="138"/>
        <v>60</v>
      </c>
      <c r="AB592" t="str">
        <f t="shared" si="132"/>
        <v>28B0AA</v>
      </c>
    </row>
    <row r="593" spans="14:28">
      <c r="N593">
        <v>591</v>
      </c>
      <c r="O593">
        <f t="shared" si="137"/>
        <v>1910</v>
      </c>
      <c r="P593">
        <f t="shared" si="139"/>
        <v>5910</v>
      </c>
      <c r="Q593">
        <f t="shared" si="140"/>
        <v>0</v>
      </c>
      <c r="R593" s="4">
        <f t="shared" si="141"/>
        <v>0</v>
      </c>
      <c r="S593" s="3">
        <f t="shared" si="142"/>
        <v>0</v>
      </c>
      <c r="T593" t="str">
        <f t="shared" si="143"/>
        <v>0</v>
      </c>
      <c r="V593">
        <v>591</v>
      </c>
      <c r="W593">
        <f t="shared" si="134"/>
        <v>1710</v>
      </c>
      <c r="X593">
        <f t="shared" si="136"/>
        <v>5910</v>
      </c>
      <c r="Y593">
        <f t="shared" si="135"/>
        <v>58.166666666666664</v>
      </c>
      <c r="Z593" s="4">
        <f t="shared" si="138"/>
        <v>2750716.3323782235</v>
      </c>
      <c r="AA593" s="3">
        <f t="shared" si="138"/>
        <v>58.166666666666664</v>
      </c>
      <c r="AB593" t="str">
        <f t="shared" si="132"/>
        <v>29F8FC</v>
      </c>
    </row>
    <row r="594" spans="14:28">
      <c r="N594">
        <v>592</v>
      </c>
      <c r="O594">
        <f t="shared" si="137"/>
        <v>1920</v>
      </c>
      <c r="P594">
        <f t="shared" si="139"/>
        <v>5920</v>
      </c>
      <c r="Q594">
        <f t="shared" si="140"/>
        <v>0</v>
      </c>
      <c r="R594" s="4">
        <f t="shared" si="141"/>
        <v>0</v>
      </c>
      <c r="S594" s="3">
        <f t="shared" si="142"/>
        <v>0</v>
      </c>
      <c r="T594" t="str">
        <f t="shared" si="143"/>
        <v>0</v>
      </c>
      <c r="V594">
        <v>592</v>
      </c>
      <c r="W594">
        <f t="shared" si="134"/>
        <v>1720</v>
      </c>
      <c r="X594">
        <f t="shared" si="136"/>
        <v>5920</v>
      </c>
      <c r="Y594">
        <f t="shared" si="135"/>
        <v>56.333333333333336</v>
      </c>
      <c r="Z594" s="4">
        <f t="shared" si="138"/>
        <v>2840236.6863905326</v>
      </c>
      <c r="AA594" s="3">
        <f t="shared" si="138"/>
        <v>56.333333333333329</v>
      </c>
      <c r="AB594" t="str">
        <f t="shared" si="132"/>
        <v>2B56AC</v>
      </c>
    </row>
    <row r="595" spans="14:28">
      <c r="N595">
        <v>593</v>
      </c>
      <c r="O595">
        <f t="shared" si="137"/>
        <v>1930</v>
      </c>
      <c r="P595">
        <f t="shared" si="139"/>
        <v>5930</v>
      </c>
      <c r="Q595">
        <f t="shared" si="140"/>
        <v>0</v>
      </c>
      <c r="R595" s="4">
        <f t="shared" si="141"/>
        <v>0</v>
      </c>
      <c r="S595" s="3">
        <f t="shared" si="142"/>
        <v>0</v>
      </c>
      <c r="T595" t="str">
        <f t="shared" si="143"/>
        <v>0</v>
      </c>
      <c r="V595">
        <v>593</v>
      </c>
      <c r="W595">
        <f t="shared" si="134"/>
        <v>1730</v>
      </c>
      <c r="X595">
        <f t="shared" si="136"/>
        <v>5930</v>
      </c>
      <c r="Y595">
        <f t="shared" si="135"/>
        <v>54.5</v>
      </c>
      <c r="Z595" s="4">
        <f t="shared" si="138"/>
        <v>2935779.8165137614</v>
      </c>
      <c r="AA595" s="3">
        <f t="shared" si="138"/>
        <v>54.5</v>
      </c>
      <c r="AB595" t="str">
        <f t="shared" si="132"/>
        <v>2CCBE3</v>
      </c>
    </row>
    <row r="596" spans="14:28">
      <c r="N596">
        <v>594</v>
      </c>
      <c r="O596">
        <f t="shared" si="137"/>
        <v>1940</v>
      </c>
      <c r="P596">
        <f t="shared" si="139"/>
        <v>5940</v>
      </c>
      <c r="Q596">
        <f t="shared" si="140"/>
        <v>0</v>
      </c>
      <c r="R596" s="4">
        <f t="shared" si="141"/>
        <v>0</v>
      </c>
      <c r="S596" s="3">
        <f t="shared" si="142"/>
        <v>0</v>
      </c>
      <c r="T596" t="str">
        <f t="shared" si="143"/>
        <v>0</v>
      </c>
      <c r="V596">
        <v>594</v>
      </c>
      <c r="W596">
        <f t="shared" si="134"/>
        <v>1740</v>
      </c>
      <c r="X596">
        <f t="shared" si="136"/>
        <v>5940</v>
      </c>
      <c r="Y596">
        <f t="shared" si="135"/>
        <v>52.666666666666671</v>
      </c>
      <c r="Z596" s="4">
        <f t="shared" si="138"/>
        <v>3037974.6835443038</v>
      </c>
      <c r="AA596" s="3">
        <f t="shared" si="138"/>
        <v>52.666666666666664</v>
      </c>
      <c r="AB596" t="str">
        <f t="shared" si="132"/>
        <v>2E5B16</v>
      </c>
    </row>
    <row r="597" spans="14:28">
      <c r="N597">
        <v>595</v>
      </c>
      <c r="O597">
        <f t="shared" si="137"/>
        <v>1950</v>
      </c>
      <c r="P597">
        <f t="shared" si="139"/>
        <v>5950</v>
      </c>
      <c r="Q597">
        <f t="shared" si="140"/>
        <v>0</v>
      </c>
      <c r="R597" s="4">
        <f t="shared" si="141"/>
        <v>0</v>
      </c>
      <c r="S597" s="3">
        <f t="shared" si="142"/>
        <v>0</v>
      </c>
      <c r="T597" t="str">
        <f t="shared" si="143"/>
        <v>0</v>
      </c>
      <c r="V597">
        <v>595</v>
      </c>
      <c r="W597">
        <f t="shared" si="134"/>
        <v>1750</v>
      </c>
      <c r="X597">
        <f t="shared" si="136"/>
        <v>5950</v>
      </c>
      <c r="Y597">
        <f t="shared" si="135"/>
        <v>50.833333333333336</v>
      </c>
      <c r="Z597" s="4">
        <f t="shared" si="138"/>
        <v>3147540.9836065574</v>
      </c>
      <c r="AA597" s="3">
        <f t="shared" si="138"/>
        <v>50.833333333333336</v>
      </c>
      <c r="AB597" t="str">
        <f t="shared" si="132"/>
        <v>300714</v>
      </c>
    </row>
    <row r="598" spans="14:28">
      <c r="N598">
        <v>596</v>
      </c>
      <c r="O598">
        <f t="shared" si="137"/>
        <v>1960</v>
      </c>
      <c r="P598">
        <f t="shared" si="139"/>
        <v>5960</v>
      </c>
      <c r="Q598">
        <f t="shared" si="140"/>
        <v>0</v>
      </c>
      <c r="R598" s="4">
        <f t="shared" si="141"/>
        <v>0</v>
      </c>
      <c r="S598" s="3">
        <f t="shared" si="142"/>
        <v>0</v>
      </c>
      <c r="T598" t="str">
        <f t="shared" si="143"/>
        <v>0</v>
      </c>
      <c r="V598">
        <v>596</v>
      </c>
      <c r="W598">
        <f t="shared" si="134"/>
        <v>1760</v>
      </c>
      <c r="X598">
        <f t="shared" si="136"/>
        <v>5960</v>
      </c>
      <c r="Y598">
        <f t="shared" si="135"/>
        <v>49</v>
      </c>
      <c r="Z598" s="4">
        <f t="shared" si="138"/>
        <v>3265306.1224489794</v>
      </c>
      <c r="AA598" s="3">
        <f t="shared" si="138"/>
        <v>49</v>
      </c>
      <c r="AB598" t="str">
        <f t="shared" si="132"/>
        <v>31D31A</v>
      </c>
    </row>
    <row r="599" spans="14:28">
      <c r="N599">
        <v>597</v>
      </c>
      <c r="O599">
        <f t="shared" si="137"/>
        <v>1970</v>
      </c>
      <c r="P599">
        <f t="shared" si="139"/>
        <v>5970</v>
      </c>
      <c r="Q599">
        <f t="shared" si="140"/>
        <v>0</v>
      </c>
      <c r="R599" s="4">
        <f t="shared" si="141"/>
        <v>0</v>
      </c>
      <c r="S599" s="3">
        <f t="shared" si="142"/>
        <v>0</v>
      </c>
      <c r="T599" t="str">
        <f t="shared" si="143"/>
        <v>0</v>
      </c>
      <c r="V599">
        <v>597</v>
      </c>
      <c r="W599">
        <f t="shared" si="134"/>
        <v>1770</v>
      </c>
      <c r="X599">
        <f t="shared" si="136"/>
        <v>5970</v>
      </c>
      <c r="Y599">
        <f t="shared" si="135"/>
        <v>47.166666666666671</v>
      </c>
      <c r="Z599" s="4">
        <f t="shared" ref="Z599:AA618" si="144">IFERROR(160*1000*1000/Y599,0)</f>
        <v>3392226.1484098937</v>
      </c>
      <c r="AA599" s="3">
        <f t="shared" si="144"/>
        <v>47.166666666666671</v>
      </c>
      <c r="AB599" t="str">
        <f t="shared" si="132"/>
        <v>33C2E2</v>
      </c>
    </row>
    <row r="600" spans="14:28">
      <c r="N600">
        <v>598</v>
      </c>
      <c r="O600">
        <f t="shared" si="137"/>
        <v>1980</v>
      </c>
      <c r="P600">
        <f t="shared" si="139"/>
        <v>5980</v>
      </c>
      <c r="Q600">
        <f t="shared" si="140"/>
        <v>0</v>
      </c>
      <c r="R600" s="4">
        <f t="shared" si="141"/>
        <v>0</v>
      </c>
      <c r="S600" s="3">
        <f t="shared" si="142"/>
        <v>0</v>
      </c>
      <c r="T600" t="str">
        <f t="shared" si="143"/>
        <v>0</v>
      </c>
      <c r="V600">
        <v>598</v>
      </c>
      <c r="W600">
        <f t="shared" si="134"/>
        <v>1780</v>
      </c>
      <c r="X600">
        <f t="shared" si="136"/>
        <v>5980</v>
      </c>
      <c r="Y600">
        <f t="shared" si="135"/>
        <v>45.333333333333329</v>
      </c>
      <c r="Z600" s="4">
        <f t="shared" si="144"/>
        <v>3529411.7647058829</v>
      </c>
      <c r="AA600" s="3">
        <f t="shared" si="144"/>
        <v>45.333333333333329</v>
      </c>
      <c r="AB600" t="str">
        <f t="shared" si="132"/>
        <v>35DAC3</v>
      </c>
    </row>
    <row r="601" spans="14:28">
      <c r="N601">
        <v>599</v>
      </c>
      <c r="O601">
        <f t="shared" si="137"/>
        <v>1990</v>
      </c>
      <c r="P601">
        <f t="shared" si="139"/>
        <v>5990</v>
      </c>
      <c r="Q601">
        <f t="shared" si="140"/>
        <v>0</v>
      </c>
      <c r="R601" s="4">
        <f t="shared" si="141"/>
        <v>0</v>
      </c>
      <c r="S601" s="3">
        <f t="shared" si="142"/>
        <v>0</v>
      </c>
      <c r="T601" t="str">
        <f t="shared" si="143"/>
        <v>0</v>
      </c>
      <c r="V601">
        <v>599</v>
      </c>
      <c r="W601">
        <f t="shared" si="134"/>
        <v>1790</v>
      </c>
      <c r="X601">
        <f t="shared" si="136"/>
        <v>5990</v>
      </c>
      <c r="Y601">
        <f t="shared" si="135"/>
        <v>43.5</v>
      </c>
      <c r="Z601" s="4">
        <f t="shared" si="144"/>
        <v>3678160.9195402297</v>
      </c>
      <c r="AA601" s="3">
        <f t="shared" si="144"/>
        <v>43.5</v>
      </c>
      <c r="AB601" t="str">
        <f t="shared" si="132"/>
        <v>381FD0</v>
      </c>
    </row>
    <row r="602" spans="14:28">
      <c r="N602">
        <v>600</v>
      </c>
      <c r="O602">
        <f t="shared" si="137"/>
        <v>0</v>
      </c>
      <c r="P602">
        <f t="shared" si="139"/>
        <v>6000</v>
      </c>
      <c r="Q602">
        <f t="shared" si="140"/>
        <v>5</v>
      </c>
      <c r="R602" s="4">
        <f t="shared" si="141"/>
        <v>32000000</v>
      </c>
      <c r="S602" s="3">
        <f t="shared" si="142"/>
        <v>5</v>
      </c>
      <c r="T602" t="str">
        <f t="shared" si="143"/>
        <v>1E84800</v>
      </c>
      <c r="V602">
        <v>600</v>
      </c>
      <c r="W602">
        <f t="shared" si="134"/>
        <v>1800</v>
      </c>
      <c r="X602">
        <f t="shared" si="136"/>
        <v>6000</v>
      </c>
      <c r="Y602">
        <f t="shared" si="135"/>
        <v>41.666666666666664</v>
      </c>
      <c r="Z602" s="4">
        <f t="shared" si="144"/>
        <v>3840000</v>
      </c>
      <c r="AA602" s="3">
        <f t="shared" si="144"/>
        <v>41.666666666666664</v>
      </c>
      <c r="AB602" t="str">
        <f t="shared" si="132"/>
        <v>3A9800</v>
      </c>
    </row>
    <row r="603" spans="14:28">
      <c r="N603">
        <v>601</v>
      </c>
      <c r="O603">
        <f t="shared" si="137"/>
        <v>10</v>
      </c>
      <c r="P603">
        <f t="shared" si="139"/>
        <v>6010</v>
      </c>
      <c r="Q603">
        <f t="shared" si="140"/>
        <v>12.8</v>
      </c>
      <c r="R603" s="4">
        <f t="shared" si="141"/>
        <v>12500000</v>
      </c>
      <c r="S603" s="3">
        <f t="shared" si="142"/>
        <v>12.8</v>
      </c>
      <c r="T603" t="str">
        <f t="shared" si="143"/>
        <v>BEBC20</v>
      </c>
      <c r="V603">
        <v>601</v>
      </c>
      <c r="W603">
        <f t="shared" si="134"/>
        <v>1810</v>
      </c>
      <c r="X603">
        <f t="shared" si="136"/>
        <v>6010</v>
      </c>
      <c r="Y603">
        <f t="shared" si="135"/>
        <v>39.833333333333329</v>
      </c>
      <c r="Z603" s="4">
        <f t="shared" si="144"/>
        <v>4016736.4016736406</v>
      </c>
      <c r="AA603" s="3">
        <f t="shared" si="144"/>
        <v>39.833333333333329</v>
      </c>
      <c r="AB603" t="str">
        <f t="shared" si="132"/>
        <v>3D4A60</v>
      </c>
    </row>
    <row r="604" spans="14:28">
      <c r="N604">
        <v>602</v>
      </c>
      <c r="O604">
        <f t="shared" si="137"/>
        <v>20</v>
      </c>
      <c r="P604">
        <f t="shared" si="139"/>
        <v>6020</v>
      </c>
      <c r="Q604">
        <f t="shared" si="140"/>
        <v>20.6</v>
      </c>
      <c r="R604" s="4">
        <f t="shared" si="141"/>
        <v>7766990.2912621358</v>
      </c>
      <c r="S604" s="3">
        <f t="shared" si="142"/>
        <v>20.6</v>
      </c>
      <c r="T604" t="str">
        <f t="shared" si="143"/>
        <v>7683CE</v>
      </c>
      <c r="V604">
        <v>602</v>
      </c>
      <c r="W604">
        <f t="shared" si="134"/>
        <v>1820</v>
      </c>
      <c r="X604">
        <f t="shared" si="136"/>
        <v>6020</v>
      </c>
      <c r="Y604">
        <f t="shared" si="135"/>
        <v>38</v>
      </c>
      <c r="Z604" s="4">
        <f t="shared" si="144"/>
        <v>4210526.3157894732</v>
      </c>
      <c r="AA604" s="3">
        <f t="shared" si="144"/>
        <v>38.000000000000007</v>
      </c>
      <c r="AB604" t="str">
        <f t="shared" si="132"/>
        <v>403F5E</v>
      </c>
    </row>
    <row r="605" spans="14:28">
      <c r="N605">
        <v>603</v>
      </c>
      <c r="O605">
        <f t="shared" si="137"/>
        <v>30</v>
      </c>
      <c r="P605">
        <f t="shared" si="139"/>
        <v>6030</v>
      </c>
      <c r="Q605">
        <f t="shared" si="140"/>
        <v>28.4</v>
      </c>
      <c r="R605" s="4">
        <f t="shared" si="141"/>
        <v>5633802.8169014091</v>
      </c>
      <c r="S605" s="3">
        <f t="shared" si="142"/>
        <v>28.4</v>
      </c>
      <c r="T605" t="str">
        <f t="shared" si="143"/>
        <v>55F70A</v>
      </c>
      <c r="V605">
        <v>603</v>
      </c>
      <c r="W605">
        <f t="shared" si="134"/>
        <v>1830</v>
      </c>
      <c r="X605">
        <f t="shared" si="136"/>
        <v>6030</v>
      </c>
      <c r="Y605">
        <f t="shared" si="135"/>
        <v>36.166666666666664</v>
      </c>
      <c r="Z605" s="4">
        <f t="shared" si="144"/>
        <v>4423963.1336405529</v>
      </c>
      <c r="AA605" s="3">
        <f t="shared" si="144"/>
        <v>36.166666666666664</v>
      </c>
      <c r="AB605" t="str">
        <f t="shared" si="132"/>
        <v>43811B</v>
      </c>
    </row>
    <row r="606" spans="14:28">
      <c r="N606">
        <v>604</v>
      </c>
      <c r="O606">
        <f t="shared" si="137"/>
        <v>40</v>
      </c>
      <c r="P606">
        <f t="shared" si="139"/>
        <v>6040</v>
      </c>
      <c r="Q606">
        <f t="shared" si="140"/>
        <v>36.200000000000003</v>
      </c>
      <c r="R606" s="4">
        <f t="shared" si="141"/>
        <v>4419889.5027624303</v>
      </c>
      <c r="S606" s="3">
        <f t="shared" si="142"/>
        <v>36.200000000000003</v>
      </c>
      <c r="T606" t="str">
        <f t="shared" si="143"/>
        <v>437131</v>
      </c>
      <c r="V606">
        <v>604</v>
      </c>
      <c r="W606">
        <f t="shared" si="134"/>
        <v>1840</v>
      </c>
      <c r="X606">
        <f t="shared" si="136"/>
        <v>6040</v>
      </c>
      <c r="Y606">
        <f t="shared" si="135"/>
        <v>34.333333333333329</v>
      </c>
      <c r="Z606" s="4">
        <f t="shared" si="144"/>
        <v>4660194.1747572822</v>
      </c>
      <c r="AA606" s="3">
        <f t="shared" si="144"/>
        <v>34.333333333333329</v>
      </c>
      <c r="AB606" t="str">
        <f t="shared" si="132"/>
        <v>471BE2</v>
      </c>
    </row>
    <row r="607" spans="14:28">
      <c r="N607">
        <v>605</v>
      </c>
      <c r="O607">
        <f t="shared" si="137"/>
        <v>50</v>
      </c>
      <c r="P607">
        <f t="shared" si="139"/>
        <v>6050</v>
      </c>
      <c r="Q607">
        <f t="shared" si="140"/>
        <v>44</v>
      </c>
      <c r="R607" s="4">
        <f t="shared" si="141"/>
        <v>3636363.6363636362</v>
      </c>
      <c r="S607" s="3">
        <f t="shared" si="142"/>
        <v>44</v>
      </c>
      <c r="T607" t="str">
        <f t="shared" si="143"/>
        <v>377C8B</v>
      </c>
      <c r="V607">
        <v>605</v>
      </c>
      <c r="W607">
        <f t="shared" si="134"/>
        <v>1850</v>
      </c>
      <c r="X607">
        <f t="shared" si="136"/>
        <v>6050</v>
      </c>
      <c r="Y607">
        <f t="shared" si="135"/>
        <v>32.5</v>
      </c>
      <c r="Z607" s="4">
        <f t="shared" si="144"/>
        <v>4923076.923076923</v>
      </c>
      <c r="AA607" s="3">
        <f t="shared" si="144"/>
        <v>32.5</v>
      </c>
      <c r="AB607" t="str">
        <f t="shared" si="132"/>
        <v>4B1EC4</v>
      </c>
    </row>
    <row r="608" spans="14:28">
      <c r="N608">
        <v>606</v>
      </c>
      <c r="O608">
        <f t="shared" si="137"/>
        <v>60</v>
      </c>
      <c r="P608">
        <f t="shared" si="139"/>
        <v>6060</v>
      </c>
      <c r="Q608">
        <f t="shared" si="140"/>
        <v>51.8</v>
      </c>
      <c r="R608" s="4">
        <f t="shared" si="141"/>
        <v>3088803.0888030888</v>
      </c>
      <c r="S608" s="3">
        <f t="shared" si="142"/>
        <v>51.800000000000004</v>
      </c>
      <c r="T608" t="str">
        <f t="shared" si="143"/>
        <v>2F21A3</v>
      </c>
      <c r="V608">
        <v>606</v>
      </c>
      <c r="W608">
        <f t="shared" si="134"/>
        <v>1860</v>
      </c>
      <c r="X608">
        <f t="shared" si="136"/>
        <v>6060</v>
      </c>
      <c r="Y608">
        <f t="shared" si="135"/>
        <v>30.666666666666668</v>
      </c>
      <c r="Z608" s="4">
        <f t="shared" si="144"/>
        <v>5217391.3043478262</v>
      </c>
      <c r="AA608" s="3">
        <f t="shared" si="144"/>
        <v>30.666666666666668</v>
      </c>
      <c r="AB608" t="str">
        <f t="shared" si="132"/>
        <v>4F9C6F</v>
      </c>
    </row>
    <row r="609" spans="14:28">
      <c r="N609">
        <v>607</v>
      </c>
      <c r="O609">
        <f t="shared" si="137"/>
        <v>70</v>
      </c>
      <c r="P609">
        <f t="shared" si="139"/>
        <v>6070</v>
      </c>
      <c r="Q609">
        <f t="shared" si="140"/>
        <v>59.600000000000009</v>
      </c>
      <c r="R609" s="4">
        <f t="shared" si="141"/>
        <v>2684563.7583892616</v>
      </c>
      <c r="S609" s="3">
        <f t="shared" si="142"/>
        <v>59.6</v>
      </c>
      <c r="T609" t="str">
        <f t="shared" si="143"/>
        <v>28F693</v>
      </c>
      <c r="V609">
        <v>607</v>
      </c>
      <c r="W609">
        <f t="shared" si="134"/>
        <v>1870</v>
      </c>
      <c r="X609">
        <f t="shared" si="136"/>
        <v>6070</v>
      </c>
      <c r="Y609">
        <f t="shared" si="135"/>
        <v>28.833333333333336</v>
      </c>
      <c r="Z609" s="4">
        <f t="shared" si="144"/>
        <v>5549132.9479768779</v>
      </c>
      <c r="AA609" s="3">
        <f t="shared" si="144"/>
        <v>28.833333333333336</v>
      </c>
      <c r="AB609" t="str">
        <f t="shared" si="132"/>
        <v>54AC4C</v>
      </c>
    </row>
    <row r="610" spans="14:28">
      <c r="N610">
        <v>608</v>
      </c>
      <c r="O610">
        <f t="shared" si="137"/>
        <v>80</v>
      </c>
      <c r="P610">
        <f t="shared" si="139"/>
        <v>6080</v>
      </c>
      <c r="Q610">
        <f t="shared" si="140"/>
        <v>67.400000000000006</v>
      </c>
      <c r="R610" s="4">
        <f t="shared" si="141"/>
        <v>2373887.240356083</v>
      </c>
      <c r="S610" s="3">
        <f t="shared" si="142"/>
        <v>67.400000000000006</v>
      </c>
      <c r="T610" t="str">
        <f t="shared" si="143"/>
        <v>2438FF</v>
      </c>
      <c r="V610">
        <v>608</v>
      </c>
      <c r="W610">
        <f t="shared" si="134"/>
        <v>1880</v>
      </c>
      <c r="X610">
        <f t="shared" si="136"/>
        <v>6080</v>
      </c>
      <c r="Y610">
        <f t="shared" si="135"/>
        <v>27</v>
      </c>
      <c r="Z610" s="4">
        <f t="shared" si="144"/>
        <v>5925925.9259259263</v>
      </c>
      <c r="AA610" s="3">
        <f t="shared" si="144"/>
        <v>27</v>
      </c>
      <c r="AB610" t="str">
        <f t="shared" ref="AB610:AB673" si="145">DEC2HEX(Z610)</f>
        <v>5A6C25</v>
      </c>
    </row>
    <row r="611" spans="14:28">
      <c r="N611">
        <v>609</v>
      </c>
      <c r="O611">
        <f t="shared" si="137"/>
        <v>90</v>
      </c>
      <c r="P611">
        <f t="shared" si="139"/>
        <v>6090</v>
      </c>
      <c r="Q611">
        <f t="shared" si="140"/>
        <v>75.2</v>
      </c>
      <c r="R611" s="4">
        <f t="shared" si="141"/>
        <v>2127659.5744680851</v>
      </c>
      <c r="S611" s="3">
        <f t="shared" si="142"/>
        <v>75.2</v>
      </c>
      <c r="T611" t="str">
        <f t="shared" si="143"/>
        <v>20772B</v>
      </c>
      <c r="V611">
        <v>609</v>
      </c>
      <c r="W611">
        <f t="shared" si="134"/>
        <v>1890</v>
      </c>
      <c r="X611">
        <f t="shared" si="136"/>
        <v>6090</v>
      </c>
      <c r="Y611">
        <f t="shared" si="135"/>
        <v>25.166666666666664</v>
      </c>
      <c r="Z611" s="4">
        <f t="shared" si="144"/>
        <v>6357615.8940397361</v>
      </c>
      <c r="AA611" s="3">
        <f t="shared" si="144"/>
        <v>25.166666666666664</v>
      </c>
      <c r="AB611" t="str">
        <f t="shared" si="145"/>
        <v>61026F</v>
      </c>
    </row>
    <row r="612" spans="14:28">
      <c r="N612">
        <v>610</v>
      </c>
      <c r="O612">
        <f t="shared" si="137"/>
        <v>100</v>
      </c>
      <c r="P612">
        <f t="shared" si="139"/>
        <v>6100</v>
      </c>
      <c r="Q612">
        <f t="shared" si="140"/>
        <v>83</v>
      </c>
      <c r="R612" s="4">
        <f t="shared" si="141"/>
        <v>1927710.843373494</v>
      </c>
      <c r="S612" s="3">
        <f t="shared" si="142"/>
        <v>83</v>
      </c>
      <c r="T612" t="str">
        <f t="shared" si="143"/>
        <v>1D6A1E</v>
      </c>
      <c r="V612">
        <v>610</v>
      </c>
      <c r="W612">
        <f t="shared" si="134"/>
        <v>1900</v>
      </c>
      <c r="X612">
        <f t="shared" si="136"/>
        <v>6100</v>
      </c>
      <c r="Y612">
        <f t="shared" si="135"/>
        <v>23.333333333333332</v>
      </c>
      <c r="Z612" s="4">
        <f t="shared" si="144"/>
        <v>6857142.8571428573</v>
      </c>
      <c r="AA612" s="3">
        <f t="shared" si="144"/>
        <v>23.333333333333332</v>
      </c>
      <c r="AB612" t="str">
        <f t="shared" si="145"/>
        <v>68A1B6</v>
      </c>
    </row>
    <row r="613" spans="14:28">
      <c r="N613">
        <v>611</v>
      </c>
      <c r="O613">
        <f t="shared" si="137"/>
        <v>110</v>
      </c>
      <c r="P613">
        <f t="shared" si="139"/>
        <v>6110</v>
      </c>
      <c r="Q613">
        <f t="shared" si="140"/>
        <v>90.8</v>
      </c>
      <c r="R613" s="4">
        <f t="shared" si="141"/>
        <v>1762114.537444934</v>
      </c>
      <c r="S613" s="3">
        <f t="shared" si="142"/>
        <v>90.8</v>
      </c>
      <c r="T613" t="str">
        <f t="shared" si="143"/>
        <v>1AE342</v>
      </c>
      <c r="V613">
        <v>611</v>
      </c>
      <c r="W613">
        <f t="shared" si="134"/>
        <v>1910</v>
      </c>
      <c r="X613">
        <f t="shared" si="136"/>
        <v>6110</v>
      </c>
      <c r="Y613">
        <f t="shared" si="135"/>
        <v>21.5</v>
      </c>
      <c r="Z613" s="4">
        <f t="shared" si="144"/>
        <v>7441860.4651162792</v>
      </c>
      <c r="AA613" s="3">
        <f t="shared" si="144"/>
        <v>21.5</v>
      </c>
      <c r="AB613" t="str">
        <f t="shared" si="145"/>
        <v>718DC4</v>
      </c>
    </row>
    <row r="614" spans="14:28">
      <c r="N614">
        <v>612</v>
      </c>
      <c r="O614">
        <f t="shared" si="137"/>
        <v>120</v>
      </c>
      <c r="P614">
        <f t="shared" si="139"/>
        <v>6120</v>
      </c>
      <c r="Q614">
        <f t="shared" si="140"/>
        <v>98.6</v>
      </c>
      <c r="R614" s="4">
        <f t="shared" si="141"/>
        <v>1622718.0527383368</v>
      </c>
      <c r="S614" s="3">
        <f t="shared" si="142"/>
        <v>98.6</v>
      </c>
      <c r="T614" t="str">
        <f t="shared" si="143"/>
        <v>18C2BE</v>
      </c>
      <c r="V614">
        <v>612</v>
      </c>
      <c r="W614">
        <f t="shared" si="134"/>
        <v>1920</v>
      </c>
      <c r="X614">
        <f t="shared" si="136"/>
        <v>6120</v>
      </c>
      <c r="Y614">
        <f t="shared" si="135"/>
        <v>19.666666666666664</v>
      </c>
      <c r="Z614" s="4">
        <f t="shared" si="144"/>
        <v>8135593.2203389844</v>
      </c>
      <c r="AA614" s="3">
        <f t="shared" si="144"/>
        <v>19.666666666666664</v>
      </c>
      <c r="AB614" t="str">
        <f t="shared" si="145"/>
        <v>7C23A9</v>
      </c>
    </row>
    <row r="615" spans="14:28">
      <c r="N615">
        <v>613</v>
      </c>
      <c r="O615">
        <f t="shared" si="137"/>
        <v>130</v>
      </c>
      <c r="P615">
        <f t="shared" si="139"/>
        <v>6130</v>
      </c>
      <c r="Q615">
        <f t="shared" si="140"/>
        <v>106.4</v>
      </c>
      <c r="R615" s="4">
        <f t="shared" si="141"/>
        <v>1503759.3984962406</v>
      </c>
      <c r="S615" s="3">
        <f t="shared" si="142"/>
        <v>106.4</v>
      </c>
      <c r="T615" t="str">
        <f t="shared" si="143"/>
        <v>16F20F</v>
      </c>
      <c r="V615">
        <v>613</v>
      </c>
      <c r="W615">
        <f t="shared" si="134"/>
        <v>1930</v>
      </c>
      <c r="X615">
        <f t="shared" si="136"/>
        <v>6130</v>
      </c>
      <c r="Y615">
        <f t="shared" si="135"/>
        <v>17.833333333333336</v>
      </c>
      <c r="Z615" s="4">
        <f t="shared" si="144"/>
        <v>8971962.616822429</v>
      </c>
      <c r="AA615" s="3">
        <f t="shared" si="144"/>
        <v>17.833333333333336</v>
      </c>
      <c r="AB615" t="str">
        <f t="shared" si="145"/>
        <v>88E6BA</v>
      </c>
    </row>
    <row r="616" spans="14:28">
      <c r="N616">
        <v>614</v>
      </c>
      <c r="O616">
        <f t="shared" si="137"/>
        <v>140</v>
      </c>
      <c r="P616">
        <f t="shared" si="139"/>
        <v>6140</v>
      </c>
      <c r="Q616">
        <f t="shared" si="140"/>
        <v>114.20000000000002</v>
      </c>
      <c r="R616" s="4">
        <f t="shared" si="141"/>
        <v>1401050.7880910682</v>
      </c>
      <c r="S616" s="3">
        <f t="shared" si="142"/>
        <v>114.20000000000002</v>
      </c>
      <c r="T616" t="str">
        <f t="shared" si="143"/>
        <v>1560DA</v>
      </c>
      <c r="V616">
        <v>614</v>
      </c>
      <c r="W616">
        <f t="shared" si="134"/>
        <v>1940</v>
      </c>
      <c r="X616">
        <f t="shared" si="136"/>
        <v>6140</v>
      </c>
      <c r="Y616">
        <f t="shared" si="135"/>
        <v>16</v>
      </c>
      <c r="Z616" s="4">
        <f t="shared" si="144"/>
        <v>10000000</v>
      </c>
      <c r="AA616" s="3">
        <f t="shared" si="144"/>
        <v>16</v>
      </c>
      <c r="AB616" t="str">
        <f t="shared" si="145"/>
        <v>989680</v>
      </c>
    </row>
    <row r="617" spans="14:28">
      <c r="N617">
        <v>615</v>
      </c>
      <c r="O617">
        <f t="shared" si="137"/>
        <v>150</v>
      </c>
      <c r="P617">
        <f t="shared" si="139"/>
        <v>6150</v>
      </c>
      <c r="Q617">
        <f t="shared" si="140"/>
        <v>122</v>
      </c>
      <c r="R617" s="4">
        <f t="shared" si="141"/>
        <v>1311475.4098360655</v>
      </c>
      <c r="S617" s="3">
        <f t="shared" si="142"/>
        <v>122.00000000000001</v>
      </c>
      <c r="T617" t="str">
        <f t="shared" si="143"/>
        <v>1402F3</v>
      </c>
      <c r="V617">
        <v>615</v>
      </c>
      <c r="W617">
        <f t="shared" si="134"/>
        <v>1950</v>
      </c>
      <c r="X617">
        <f t="shared" si="136"/>
        <v>6150</v>
      </c>
      <c r="Y617">
        <f t="shared" si="135"/>
        <v>14.166666666666666</v>
      </c>
      <c r="Z617" s="4">
        <f t="shared" si="144"/>
        <v>11294117.647058824</v>
      </c>
      <c r="AA617" s="3">
        <f t="shared" si="144"/>
        <v>14.166666666666666</v>
      </c>
      <c r="AB617" t="str">
        <f t="shared" si="145"/>
        <v>AC55A5</v>
      </c>
    </row>
    <row r="618" spans="14:28">
      <c r="N618">
        <v>616</v>
      </c>
      <c r="O618">
        <f t="shared" si="137"/>
        <v>160</v>
      </c>
      <c r="P618">
        <f t="shared" si="139"/>
        <v>6160</v>
      </c>
      <c r="Q618">
        <f t="shared" si="140"/>
        <v>129.80000000000001</v>
      </c>
      <c r="R618" s="4">
        <f t="shared" si="141"/>
        <v>1232665.6394453004</v>
      </c>
      <c r="S618" s="3">
        <f t="shared" si="142"/>
        <v>129.80000000000001</v>
      </c>
      <c r="T618" t="str">
        <f t="shared" si="143"/>
        <v>12CF19</v>
      </c>
      <c r="V618">
        <v>616</v>
      </c>
      <c r="W618">
        <f t="shared" si="134"/>
        <v>1960</v>
      </c>
      <c r="X618">
        <f t="shared" si="136"/>
        <v>6160</v>
      </c>
      <c r="Y618">
        <f t="shared" si="135"/>
        <v>12.333333333333332</v>
      </c>
      <c r="Z618" s="4">
        <f t="shared" si="144"/>
        <v>12972972.972972974</v>
      </c>
      <c r="AA618" s="3">
        <f t="shared" si="144"/>
        <v>12.333333333333332</v>
      </c>
      <c r="AB618" t="str">
        <f t="shared" si="145"/>
        <v>C5F3AC</v>
      </c>
    </row>
    <row r="619" spans="14:28">
      <c r="N619">
        <v>617</v>
      </c>
      <c r="O619">
        <f t="shared" si="137"/>
        <v>170</v>
      </c>
      <c r="P619">
        <f t="shared" si="139"/>
        <v>6170</v>
      </c>
      <c r="Q619">
        <f t="shared" si="140"/>
        <v>137.60000000000002</v>
      </c>
      <c r="R619" s="4">
        <f t="shared" si="141"/>
        <v>1162790.6976744183</v>
      </c>
      <c r="S619" s="3">
        <f t="shared" si="142"/>
        <v>137.60000000000002</v>
      </c>
      <c r="T619" t="str">
        <f t="shared" si="143"/>
        <v>11BE26</v>
      </c>
      <c r="V619">
        <v>617</v>
      </c>
      <c r="W619">
        <f t="shared" si="134"/>
        <v>1970</v>
      </c>
      <c r="X619">
        <f t="shared" si="136"/>
        <v>6170</v>
      </c>
      <c r="Y619">
        <f t="shared" si="135"/>
        <v>10.5</v>
      </c>
      <c r="Z619" s="4">
        <f t="shared" ref="Z619:AA638" si="146">IFERROR(160*1000*1000/Y619,0)</f>
        <v>15238095.238095239</v>
      </c>
      <c r="AA619" s="3">
        <f t="shared" si="146"/>
        <v>10.5</v>
      </c>
      <c r="AB619" t="str">
        <f t="shared" si="145"/>
        <v>E883CF</v>
      </c>
    </row>
    <row r="620" spans="14:28">
      <c r="N620">
        <v>618</v>
      </c>
      <c r="O620">
        <f t="shared" si="137"/>
        <v>180</v>
      </c>
      <c r="P620">
        <f t="shared" si="139"/>
        <v>6180</v>
      </c>
      <c r="Q620">
        <f t="shared" si="140"/>
        <v>145.4</v>
      </c>
      <c r="R620" s="4">
        <f t="shared" si="141"/>
        <v>1100412.6547455296</v>
      </c>
      <c r="S620" s="3">
        <f t="shared" si="142"/>
        <v>145.39999999999998</v>
      </c>
      <c r="T620" t="str">
        <f t="shared" si="143"/>
        <v>10CA7C</v>
      </c>
      <c r="V620">
        <v>618</v>
      </c>
      <c r="W620">
        <f t="shared" si="134"/>
        <v>1980</v>
      </c>
      <c r="X620">
        <f t="shared" si="136"/>
        <v>6180</v>
      </c>
      <c r="Y620">
        <f t="shared" si="135"/>
        <v>8.6666666666666661</v>
      </c>
      <c r="Z620" s="4">
        <f t="shared" si="146"/>
        <v>18461538.461538464</v>
      </c>
      <c r="AA620" s="3">
        <f t="shared" si="146"/>
        <v>8.6666666666666661</v>
      </c>
      <c r="AB620" t="str">
        <f t="shared" si="145"/>
        <v>119B362</v>
      </c>
    </row>
    <row r="621" spans="14:28">
      <c r="N621">
        <v>619</v>
      </c>
      <c r="O621">
        <f t="shared" si="137"/>
        <v>190</v>
      </c>
      <c r="P621">
        <f t="shared" si="139"/>
        <v>6190</v>
      </c>
      <c r="Q621">
        <f t="shared" si="140"/>
        <v>153.19999999999999</v>
      </c>
      <c r="R621" s="4">
        <f t="shared" si="141"/>
        <v>1044386.4229765014</v>
      </c>
      <c r="S621" s="3">
        <f t="shared" si="142"/>
        <v>153.19999999999999</v>
      </c>
      <c r="T621" t="str">
        <f t="shared" si="143"/>
        <v>FEFA2</v>
      </c>
      <c r="V621">
        <v>619</v>
      </c>
      <c r="W621">
        <f t="shared" si="134"/>
        <v>1990</v>
      </c>
      <c r="X621">
        <f t="shared" si="136"/>
        <v>6190</v>
      </c>
      <c r="Y621">
        <f t="shared" si="135"/>
        <v>6.833333333333333</v>
      </c>
      <c r="Z621" s="4">
        <f t="shared" si="146"/>
        <v>23414634.146341465</v>
      </c>
      <c r="AA621" s="3">
        <f t="shared" si="146"/>
        <v>6.833333333333333</v>
      </c>
      <c r="AB621" t="str">
        <f t="shared" si="145"/>
        <v>165476A</v>
      </c>
    </row>
    <row r="622" spans="14:28">
      <c r="N622">
        <v>620</v>
      </c>
      <c r="O622">
        <f t="shared" si="137"/>
        <v>200</v>
      </c>
      <c r="P622">
        <f t="shared" si="139"/>
        <v>6200</v>
      </c>
      <c r="Q622">
        <f t="shared" si="140"/>
        <v>161</v>
      </c>
      <c r="R622" s="4">
        <f t="shared" si="141"/>
        <v>993788.81987577642</v>
      </c>
      <c r="S622" s="3">
        <f t="shared" si="142"/>
        <v>161</v>
      </c>
      <c r="T622" t="str">
        <f t="shared" si="143"/>
        <v>F29FC</v>
      </c>
      <c r="V622">
        <v>620</v>
      </c>
      <c r="W622">
        <f t="shared" si="134"/>
        <v>2000</v>
      </c>
      <c r="X622">
        <f t="shared" si="136"/>
        <v>6200</v>
      </c>
      <c r="Y622">
        <f t="shared" si="135"/>
        <v>5</v>
      </c>
      <c r="Z622" s="4">
        <f t="shared" si="146"/>
        <v>32000000</v>
      </c>
      <c r="AA622" s="3">
        <f t="shared" si="146"/>
        <v>5</v>
      </c>
      <c r="AB622" t="str">
        <f t="shared" si="145"/>
        <v>1E84800</v>
      </c>
    </row>
    <row r="623" spans="14:28">
      <c r="N623">
        <v>621</v>
      </c>
      <c r="O623">
        <f t="shared" si="137"/>
        <v>210</v>
      </c>
      <c r="P623">
        <f t="shared" si="139"/>
        <v>6210</v>
      </c>
      <c r="Q623">
        <f t="shared" si="140"/>
        <v>168.79999999999998</v>
      </c>
      <c r="R623" s="4">
        <f t="shared" si="141"/>
        <v>947867.29857819912</v>
      </c>
      <c r="S623" s="3">
        <f t="shared" si="142"/>
        <v>168.79999999999998</v>
      </c>
      <c r="T623" t="str">
        <f t="shared" si="143"/>
        <v>E769B</v>
      </c>
      <c r="V623">
        <v>621</v>
      </c>
      <c r="W623">
        <f t="shared" si="134"/>
        <v>2010</v>
      </c>
      <c r="X623">
        <f t="shared" si="136"/>
        <v>6210</v>
      </c>
      <c r="Y623">
        <f t="shared" si="135"/>
        <v>0</v>
      </c>
      <c r="Z623" s="4">
        <f t="shared" si="146"/>
        <v>0</v>
      </c>
      <c r="AA623" s="3">
        <f t="shared" si="146"/>
        <v>0</v>
      </c>
      <c r="AB623" t="str">
        <f t="shared" si="145"/>
        <v>0</v>
      </c>
    </row>
    <row r="624" spans="14:28">
      <c r="N624">
        <v>622</v>
      </c>
      <c r="O624">
        <f t="shared" si="137"/>
        <v>220</v>
      </c>
      <c r="P624">
        <f t="shared" si="139"/>
        <v>6220</v>
      </c>
      <c r="Q624">
        <f t="shared" si="140"/>
        <v>176.6</v>
      </c>
      <c r="R624" s="4">
        <f t="shared" si="141"/>
        <v>906002.26500566257</v>
      </c>
      <c r="S624" s="3">
        <f t="shared" si="142"/>
        <v>176.6</v>
      </c>
      <c r="T624" t="str">
        <f t="shared" si="143"/>
        <v>DD312</v>
      </c>
      <c r="V624">
        <v>622</v>
      </c>
      <c r="W624">
        <f t="shared" si="134"/>
        <v>2020</v>
      </c>
      <c r="X624">
        <f t="shared" si="136"/>
        <v>6220</v>
      </c>
      <c r="Y624">
        <f t="shared" si="135"/>
        <v>0</v>
      </c>
      <c r="Z624" s="4">
        <f t="shared" si="146"/>
        <v>0</v>
      </c>
      <c r="AA624" s="3">
        <f t="shared" si="146"/>
        <v>0</v>
      </c>
      <c r="AB624" t="str">
        <f t="shared" si="145"/>
        <v>0</v>
      </c>
    </row>
    <row r="625" spans="14:28">
      <c r="N625">
        <v>623</v>
      </c>
      <c r="O625">
        <f t="shared" si="137"/>
        <v>230</v>
      </c>
      <c r="P625">
        <f t="shared" si="139"/>
        <v>6230</v>
      </c>
      <c r="Q625">
        <f t="shared" si="140"/>
        <v>184.4</v>
      </c>
      <c r="R625" s="4">
        <f t="shared" si="141"/>
        <v>867678.95878524939</v>
      </c>
      <c r="S625" s="3">
        <f t="shared" si="142"/>
        <v>184.4</v>
      </c>
      <c r="T625" t="str">
        <f t="shared" si="143"/>
        <v>D3D5E</v>
      </c>
      <c r="V625">
        <v>623</v>
      </c>
      <c r="W625">
        <f t="shared" si="134"/>
        <v>2030</v>
      </c>
      <c r="X625">
        <f t="shared" si="136"/>
        <v>6230</v>
      </c>
      <c r="Y625">
        <f t="shared" si="135"/>
        <v>0</v>
      </c>
      <c r="Z625" s="4">
        <f t="shared" si="146"/>
        <v>0</v>
      </c>
      <c r="AA625" s="3">
        <f t="shared" si="146"/>
        <v>0</v>
      </c>
      <c r="AB625" t="str">
        <f t="shared" si="145"/>
        <v>0</v>
      </c>
    </row>
    <row r="626" spans="14:28">
      <c r="N626">
        <v>624</v>
      </c>
      <c r="O626">
        <f t="shared" si="137"/>
        <v>240</v>
      </c>
      <c r="P626">
        <f t="shared" si="139"/>
        <v>6240</v>
      </c>
      <c r="Q626">
        <f t="shared" si="140"/>
        <v>192.2</v>
      </c>
      <c r="R626" s="4">
        <f t="shared" si="141"/>
        <v>832466.1810613944</v>
      </c>
      <c r="S626" s="3">
        <f t="shared" si="142"/>
        <v>192.2</v>
      </c>
      <c r="T626" t="str">
        <f t="shared" si="143"/>
        <v>CB3D2</v>
      </c>
      <c r="V626">
        <v>624</v>
      </c>
      <c r="W626">
        <f t="shared" si="134"/>
        <v>2040</v>
      </c>
      <c r="X626">
        <f t="shared" si="136"/>
        <v>6240</v>
      </c>
      <c r="Y626">
        <f t="shared" si="135"/>
        <v>0</v>
      </c>
      <c r="Z626" s="4">
        <f t="shared" si="146"/>
        <v>0</v>
      </c>
      <c r="AA626" s="3">
        <f t="shared" si="146"/>
        <v>0</v>
      </c>
      <c r="AB626" t="str">
        <f t="shared" si="145"/>
        <v>0</v>
      </c>
    </row>
    <row r="627" spans="14:28">
      <c r="N627">
        <v>625</v>
      </c>
      <c r="O627">
        <f t="shared" si="137"/>
        <v>250</v>
      </c>
      <c r="P627">
        <f t="shared" si="139"/>
        <v>6250</v>
      </c>
      <c r="Q627">
        <f t="shared" si="140"/>
        <v>200</v>
      </c>
      <c r="R627" s="4">
        <f t="shared" si="141"/>
        <v>800000</v>
      </c>
      <c r="S627" s="3">
        <f t="shared" si="142"/>
        <v>200</v>
      </c>
      <c r="T627" t="str">
        <f t="shared" si="143"/>
        <v>C3500</v>
      </c>
      <c r="V627">
        <v>625</v>
      </c>
      <c r="W627">
        <f t="shared" si="134"/>
        <v>2050</v>
      </c>
      <c r="X627">
        <f t="shared" si="136"/>
        <v>6250</v>
      </c>
      <c r="Y627">
        <f t="shared" si="135"/>
        <v>0</v>
      </c>
      <c r="Z627" s="4">
        <f t="shared" si="146"/>
        <v>0</v>
      </c>
      <c r="AA627" s="3">
        <f t="shared" si="146"/>
        <v>0</v>
      </c>
      <c r="AB627" t="str">
        <f t="shared" si="145"/>
        <v>0</v>
      </c>
    </row>
    <row r="628" spans="14:28">
      <c r="N628">
        <v>626</v>
      </c>
      <c r="O628">
        <f t="shared" si="137"/>
        <v>260</v>
      </c>
      <c r="P628">
        <f t="shared" si="139"/>
        <v>6260</v>
      </c>
      <c r="Q628">
        <f t="shared" si="140"/>
        <v>200</v>
      </c>
      <c r="R628" s="4">
        <f t="shared" si="141"/>
        <v>800000</v>
      </c>
      <c r="S628" s="3">
        <f t="shared" si="142"/>
        <v>200</v>
      </c>
      <c r="T628" t="str">
        <f t="shared" si="143"/>
        <v>C3500</v>
      </c>
      <c r="V628">
        <v>626</v>
      </c>
      <c r="W628">
        <f t="shared" si="134"/>
        <v>2060</v>
      </c>
      <c r="X628">
        <f t="shared" si="136"/>
        <v>6260</v>
      </c>
      <c r="Y628">
        <f t="shared" si="135"/>
        <v>0</v>
      </c>
      <c r="Z628" s="4">
        <f t="shared" si="146"/>
        <v>0</v>
      </c>
      <c r="AA628" s="3">
        <f t="shared" si="146"/>
        <v>0</v>
      </c>
      <c r="AB628" t="str">
        <f t="shared" si="145"/>
        <v>0</v>
      </c>
    </row>
    <row r="629" spans="14:28">
      <c r="N629">
        <v>627</v>
      </c>
      <c r="O629">
        <f t="shared" si="137"/>
        <v>270</v>
      </c>
      <c r="P629">
        <f t="shared" si="139"/>
        <v>6270</v>
      </c>
      <c r="Q629">
        <f t="shared" si="140"/>
        <v>200</v>
      </c>
      <c r="R629" s="4">
        <f t="shared" si="141"/>
        <v>800000</v>
      </c>
      <c r="S629" s="3">
        <f t="shared" si="142"/>
        <v>200</v>
      </c>
      <c r="T629" t="str">
        <f t="shared" si="143"/>
        <v>C3500</v>
      </c>
      <c r="V629">
        <v>627</v>
      </c>
      <c r="W629">
        <f t="shared" si="134"/>
        <v>2070</v>
      </c>
      <c r="X629">
        <f t="shared" si="136"/>
        <v>6270</v>
      </c>
      <c r="Y629">
        <f t="shared" si="135"/>
        <v>0</v>
      </c>
      <c r="Z629" s="4">
        <f t="shared" si="146"/>
        <v>0</v>
      </c>
      <c r="AA629" s="3">
        <f t="shared" si="146"/>
        <v>0</v>
      </c>
      <c r="AB629" t="str">
        <f t="shared" si="145"/>
        <v>0</v>
      </c>
    </row>
    <row r="630" spans="14:28">
      <c r="N630">
        <v>628</v>
      </c>
      <c r="O630">
        <f t="shared" si="137"/>
        <v>280</v>
      </c>
      <c r="P630">
        <f t="shared" si="139"/>
        <v>6280</v>
      </c>
      <c r="Q630">
        <f t="shared" si="140"/>
        <v>200</v>
      </c>
      <c r="R630" s="4">
        <f t="shared" si="141"/>
        <v>800000</v>
      </c>
      <c r="S630" s="3">
        <f t="shared" si="142"/>
        <v>200</v>
      </c>
      <c r="T630" t="str">
        <f t="shared" si="143"/>
        <v>C3500</v>
      </c>
      <c r="V630">
        <v>628</v>
      </c>
      <c r="W630">
        <f t="shared" si="134"/>
        <v>2080</v>
      </c>
      <c r="X630">
        <f t="shared" si="136"/>
        <v>6280</v>
      </c>
      <c r="Y630">
        <f t="shared" si="135"/>
        <v>0</v>
      </c>
      <c r="Z630" s="4">
        <f t="shared" si="146"/>
        <v>0</v>
      </c>
      <c r="AA630" s="3">
        <f t="shared" si="146"/>
        <v>0</v>
      </c>
      <c r="AB630" t="str">
        <f t="shared" si="145"/>
        <v>0</v>
      </c>
    </row>
    <row r="631" spans="14:28">
      <c r="N631">
        <v>629</v>
      </c>
      <c r="O631">
        <f t="shared" si="137"/>
        <v>290</v>
      </c>
      <c r="P631">
        <f t="shared" si="139"/>
        <v>6290</v>
      </c>
      <c r="Q631">
        <f t="shared" si="140"/>
        <v>200</v>
      </c>
      <c r="R631" s="4">
        <f t="shared" si="141"/>
        <v>800000</v>
      </c>
      <c r="S631" s="3">
        <f t="shared" si="142"/>
        <v>200</v>
      </c>
      <c r="T631" t="str">
        <f t="shared" si="143"/>
        <v>C3500</v>
      </c>
      <c r="V631">
        <v>629</v>
      </c>
      <c r="W631">
        <f t="shared" si="134"/>
        <v>2090</v>
      </c>
      <c r="X631">
        <f t="shared" si="136"/>
        <v>6290</v>
      </c>
      <c r="Y631">
        <f t="shared" si="135"/>
        <v>0</v>
      </c>
      <c r="Z631" s="4">
        <f t="shared" si="146"/>
        <v>0</v>
      </c>
      <c r="AA631" s="3">
        <f t="shared" si="146"/>
        <v>0</v>
      </c>
      <c r="AB631" t="str">
        <f t="shared" si="145"/>
        <v>0</v>
      </c>
    </row>
    <row r="632" spans="14:28">
      <c r="N632">
        <v>630</v>
      </c>
      <c r="O632">
        <f t="shared" si="137"/>
        <v>300</v>
      </c>
      <c r="P632">
        <f t="shared" si="139"/>
        <v>6300</v>
      </c>
      <c r="Q632">
        <f t="shared" si="140"/>
        <v>200</v>
      </c>
      <c r="R632" s="4">
        <f t="shared" si="141"/>
        <v>800000</v>
      </c>
      <c r="S632" s="3">
        <f t="shared" si="142"/>
        <v>200</v>
      </c>
      <c r="T632" t="str">
        <f t="shared" si="143"/>
        <v>C3500</v>
      </c>
      <c r="V632">
        <v>630</v>
      </c>
      <c r="W632">
        <f t="shared" si="134"/>
        <v>0</v>
      </c>
      <c r="X632">
        <f t="shared" si="136"/>
        <v>6300</v>
      </c>
      <c r="Y632">
        <f t="shared" si="135"/>
        <v>5</v>
      </c>
      <c r="Z632" s="4">
        <f t="shared" si="146"/>
        <v>32000000</v>
      </c>
      <c r="AA632" s="3">
        <f t="shared" si="146"/>
        <v>5</v>
      </c>
      <c r="AB632" t="str">
        <f t="shared" si="145"/>
        <v>1E84800</v>
      </c>
    </row>
    <row r="633" spans="14:28">
      <c r="N633">
        <v>631</v>
      </c>
      <c r="O633">
        <f t="shared" si="137"/>
        <v>310</v>
      </c>
      <c r="P633">
        <f t="shared" si="139"/>
        <v>6310</v>
      </c>
      <c r="Q633">
        <f t="shared" si="140"/>
        <v>200</v>
      </c>
      <c r="R633" s="4">
        <f t="shared" si="141"/>
        <v>800000</v>
      </c>
      <c r="S633" s="3">
        <f t="shared" si="142"/>
        <v>200</v>
      </c>
      <c r="T633" t="str">
        <f t="shared" si="143"/>
        <v>C3500</v>
      </c>
      <c r="V633">
        <v>631</v>
      </c>
      <c r="W633">
        <f t="shared" si="134"/>
        <v>10</v>
      </c>
      <c r="X633">
        <f t="shared" si="136"/>
        <v>6310</v>
      </c>
      <c r="Y633">
        <f t="shared" si="135"/>
        <v>6.833333333333333</v>
      </c>
      <c r="Z633" s="4">
        <f t="shared" si="146"/>
        <v>23414634.146341465</v>
      </c>
      <c r="AA633" s="3">
        <f t="shared" si="146"/>
        <v>6.833333333333333</v>
      </c>
      <c r="AB633" t="str">
        <f t="shared" si="145"/>
        <v>165476A</v>
      </c>
    </row>
    <row r="634" spans="14:28">
      <c r="N634">
        <v>632</v>
      </c>
      <c r="O634">
        <f t="shared" si="137"/>
        <v>320</v>
      </c>
      <c r="P634">
        <f t="shared" si="139"/>
        <v>6320</v>
      </c>
      <c r="Q634">
        <f t="shared" si="140"/>
        <v>200</v>
      </c>
      <c r="R634" s="4">
        <f t="shared" si="141"/>
        <v>800000</v>
      </c>
      <c r="S634" s="3">
        <f t="shared" si="142"/>
        <v>200</v>
      </c>
      <c r="T634" t="str">
        <f t="shared" si="143"/>
        <v>C3500</v>
      </c>
      <c r="V634">
        <v>632</v>
      </c>
      <c r="W634">
        <f t="shared" si="134"/>
        <v>20</v>
      </c>
      <c r="X634">
        <f t="shared" si="136"/>
        <v>6320</v>
      </c>
      <c r="Y634">
        <f t="shared" si="135"/>
        <v>8.6666666666666661</v>
      </c>
      <c r="Z634" s="4">
        <f t="shared" si="146"/>
        <v>18461538.461538464</v>
      </c>
      <c r="AA634" s="3">
        <f t="shared" si="146"/>
        <v>8.6666666666666661</v>
      </c>
      <c r="AB634" t="str">
        <f t="shared" si="145"/>
        <v>119B362</v>
      </c>
    </row>
    <row r="635" spans="14:28">
      <c r="N635">
        <v>633</v>
      </c>
      <c r="O635">
        <f t="shared" si="137"/>
        <v>330</v>
      </c>
      <c r="P635">
        <f t="shared" si="139"/>
        <v>6330</v>
      </c>
      <c r="Q635">
        <f t="shared" si="140"/>
        <v>200</v>
      </c>
      <c r="R635" s="4">
        <f t="shared" si="141"/>
        <v>800000</v>
      </c>
      <c r="S635" s="3">
        <f t="shared" si="142"/>
        <v>200</v>
      </c>
      <c r="T635" t="str">
        <f t="shared" si="143"/>
        <v>C3500</v>
      </c>
      <c r="V635">
        <v>633</v>
      </c>
      <c r="W635">
        <f t="shared" si="134"/>
        <v>30</v>
      </c>
      <c r="X635">
        <f t="shared" si="136"/>
        <v>6330</v>
      </c>
      <c r="Y635">
        <f t="shared" si="135"/>
        <v>10.5</v>
      </c>
      <c r="Z635" s="4">
        <f t="shared" si="146"/>
        <v>15238095.238095239</v>
      </c>
      <c r="AA635" s="3">
        <f t="shared" si="146"/>
        <v>10.5</v>
      </c>
      <c r="AB635" t="str">
        <f t="shared" si="145"/>
        <v>E883CF</v>
      </c>
    </row>
    <row r="636" spans="14:28">
      <c r="N636">
        <v>634</v>
      </c>
      <c r="O636">
        <f t="shared" si="137"/>
        <v>340</v>
      </c>
      <c r="P636">
        <f t="shared" si="139"/>
        <v>6340</v>
      </c>
      <c r="Q636">
        <f t="shared" si="140"/>
        <v>200</v>
      </c>
      <c r="R636" s="4">
        <f t="shared" si="141"/>
        <v>800000</v>
      </c>
      <c r="S636" s="3">
        <f t="shared" si="142"/>
        <v>200</v>
      </c>
      <c r="T636" t="str">
        <f t="shared" si="143"/>
        <v>C3500</v>
      </c>
      <c r="V636">
        <v>634</v>
      </c>
      <c r="W636">
        <f t="shared" si="134"/>
        <v>40</v>
      </c>
      <c r="X636">
        <f t="shared" si="136"/>
        <v>6340</v>
      </c>
      <c r="Y636">
        <f t="shared" si="135"/>
        <v>12.333333333333332</v>
      </c>
      <c r="Z636" s="4">
        <f t="shared" si="146"/>
        <v>12972972.972972974</v>
      </c>
      <c r="AA636" s="3">
        <f t="shared" si="146"/>
        <v>12.333333333333332</v>
      </c>
      <c r="AB636" t="str">
        <f t="shared" si="145"/>
        <v>C5F3AC</v>
      </c>
    </row>
    <row r="637" spans="14:28">
      <c r="N637">
        <v>635</v>
      </c>
      <c r="O637">
        <f t="shared" si="137"/>
        <v>350</v>
      </c>
      <c r="P637">
        <f t="shared" si="139"/>
        <v>6350</v>
      </c>
      <c r="Q637">
        <f t="shared" si="140"/>
        <v>200</v>
      </c>
      <c r="R637" s="4">
        <f t="shared" si="141"/>
        <v>800000</v>
      </c>
      <c r="S637" s="3">
        <f t="shared" si="142"/>
        <v>200</v>
      </c>
      <c r="T637" t="str">
        <f t="shared" si="143"/>
        <v>C3500</v>
      </c>
      <c r="V637">
        <v>635</v>
      </c>
      <c r="W637">
        <f t="shared" si="134"/>
        <v>50</v>
      </c>
      <c r="X637">
        <f t="shared" si="136"/>
        <v>6350</v>
      </c>
      <c r="Y637">
        <f t="shared" si="135"/>
        <v>14.166666666666666</v>
      </c>
      <c r="Z637" s="4">
        <f t="shared" si="146"/>
        <v>11294117.647058824</v>
      </c>
      <c r="AA637" s="3">
        <f t="shared" si="146"/>
        <v>14.166666666666666</v>
      </c>
      <c r="AB637" t="str">
        <f t="shared" si="145"/>
        <v>AC55A5</v>
      </c>
    </row>
    <row r="638" spans="14:28">
      <c r="N638">
        <v>636</v>
      </c>
      <c r="O638">
        <f t="shared" si="137"/>
        <v>360</v>
      </c>
      <c r="P638">
        <f t="shared" si="139"/>
        <v>6360</v>
      </c>
      <c r="Q638">
        <f t="shared" si="140"/>
        <v>200</v>
      </c>
      <c r="R638" s="4">
        <f t="shared" si="141"/>
        <v>800000</v>
      </c>
      <c r="S638" s="3">
        <f t="shared" si="142"/>
        <v>200</v>
      </c>
      <c r="T638" t="str">
        <f t="shared" si="143"/>
        <v>C3500</v>
      </c>
      <c r="V638">
        <v>636</v>
      </c>
      <c r="W638">
        <f t="shared" si="134"/>
        <v>60</v>
      </c>
      <c r="X638">
        <f t="shared" si="136"/>
        <v>6360</v>
      </c>
      <c r="Y638">
        <f t="shared" si="135"/>
        <v>16</v>
      </c>
      <c r="Z638" s="4">
        <f t="shared" si="146"/>
        <v>10000000</v>
      </c>
      <c r="AA638" s="3">
        <f t="shared" si="146"/>
        <v>16</v>
      </c>
      <c r="AB638" t="str">
        <f t="shared" si="145"/>
        <v>989680</v>
      </c>
    </row>
    <row r="639" spans="14:28">
      <c r="N639">
        <v>637</v>
      </c>
      <c r="O639">
        <f t="shared" si="137"/>
        <v>370</v>
      </c>
      <c r="P639">
        <f t="shared" si="139"/>
        <v>6370</v>
      </c>
      <c r="Q639">
        <f t="shared" si="140"/>
        <v>200</v>
      </c>
      <c r="R639" s="4">
        <f t="shared" si="141"/>
        <v>800000</v>
      </c>
      <c r="S639" s="3">
        <f t="shared" si="142"/>
        <v>200</v>
      </c>
      <c r="T639" t="str">
        <f t="shared" si="143"/>
        <v>C3500</v>
      </c>
      <c r="V639">
        <v>637</v>
      </c>
      <c r="W639">
        <f t="shared" ref="W639:W702" si="147">MOD(X639,$A$14+$A$15)</f>
        <v>70</v>
      </c>
      <c r="X639">
        <f t="shared" si="136"/>
        <v>6370</v>
      </c>
      <c r="Y639">
        <f t="shared" ref="Y639:Y702" si="148">IF(W639&gt;$A$14,0,IF(W639&lt;$A$13,W639/($A$13)*($A$11-$A$12)+$A$12,IF($A$14-W639&lt;$A$13,($A$14-W639)/($A$13)*($A$11-$A$12)+$A$12,$A$11)))</f>
        <v>17.833333333333336</v>
      </c>
      <c r="Z639" s="4">
        <f t="shared" ref="Z639:AA658" si="149">IFERROR(160*1000*1000/Y639,0)</f>
        <v>8971962.616822429</v>
      </c>
      <c r="AA639" s="3">
        <f t="shared" si="149"/>
        <v>17.833333333333336</v>
      </c>
      <c r="AB639" t="str">
        <f t="shared" si="145"/>
        <v>88E6BA</v>
      </c>
    </row>
    <row r="640" spans="14:28">
      <c r="N640">
        <v>638</v>
      </c>
      <c r="O640">
        <f t="shared" si="137"/>
        <v>380</v>
      </c>
      <c r="P640">
        <f t="shared" si="139"/>
        <v>6380</v>
      </c>
      <c r="Q640">
        <f t="shared" si="140"/>
        <v>200</v>
      </c>
      <c r="R640" s="4">
        <f t="shared" si="141"/>
        <v>800000</v>
      </c>
      <c r="S640" s="3">
        <f t="shared" si="142"/>
        <v>200</v>
      </c>
      <c r="T640" t="str">
        <f t="shared" si="143"/>
        <v>C3500</v>
      </c>
      <c r="V640">
        <v>638</v>
      </c>
      <c r="W640">
        <f t="shared" si="147"/>
        <v>80</v>
      </c>
      <c r="X640">
        <f t="shared" ref="X640:X703" si="150">V640*10</f>
        <v>6380</v>
      </c>
      <c r="Y640">
        <f t="shared" si="148"/>
        <v>19.666666666666664</v>
      </c>
      <c r="Z640" s="4">
        <f t="shared" si="149"/>
        <v>8135593.2203389844</v>
      </c>
      <c r="AA640" s="3">
        <f t="shared" si="149"/>
        <v>19.666666666666664</v>
      </c>
      <c r="AB640" t="str">
        <f t="shared" si="145"/>
        <v>7C23A9</v>
      </c>
    </row>
    <row r="641" spans="14:28">
      <c r="N641">
        <v>639</v>
      </c>
      <c r="O641">
        <f t="shared" si="137"/>
        <v>390</v>
      </c>
      <c r="P641">
        <f t="shared" si="139"/>
        <v>6390</v>
      </c>
      <c r="Q641">
        <f t="shared" si="140"/>
        <v>200</v>
      </c>
      <c r="R641" s="4">
        <f t="shared" si="141"/>
        <v>800000</v>
      </c>
      <c r="S641" s="3">
        <f t="shared" si="142"/>
        <v>200</v>
      </c>
      <c r="T641" t="str">
        <f t="shared" si="143"/>
        <v>C3500</v>
      </c>
      <c r="V641">
        <v>639</v>
      </c>
      <c r="W641">
        <f t="shared" si="147"/>
        <v>90</v>
      </c>
      <c r="X641">
        <f t="shared" si="150"/>
        <v>6390</v>
      </c>
      <c r="Y641">
        <f t="shared" si="148"/>
        <v>21.5</v>
      </c>
      <c r="Z641" s="4">
        <f t="shared" si="149"/>
        <v>7441860.4651162792</v>
      </c>
      <c r="AA641" s="3">
        <f t="shared" si="149"/>
        <v>21.5</v>
      </c>
      <c r="AB641" t="str">
        <f t="shared" si="145"/>
        <v>718DC4</v>
      </c>
    </row>
    <row r="642" spans="14:28">
      <c r="N642">
        <v>640</v>
      </c>
      <c r="O642">
        <f t="shared" si="137"/>
        <v>400</v>
      </c>
      <c r="P642">
        <f t="shared" si="139"/>
        <v>6400</v>
      </c>
      <c r="Q642">
        <f t="shared" si="140"/>
        <v>200</v>
      </c>
      <c r="R642" s="4">
        <f t="shared" si="141"/>
        <v>800000</v>
      </c>
      <c r="S642" s="3">
        <f t="shared" si="142"/>
        <v>200</v>
      </c>
      <c r="T642" t="str">
        <f t="shared" si="143"/>
        <v>C3500</v>
      </c>
      <c r="V642">
        <v>640</v>
      </c>
      <c r="W642">
        <f t="shared" si="147"/>
        <v>100</v>
      </c>
      <c r="X642">
        <f t="shared" si="150"/>
        <v>6400</v>
      </c>
      <c r="Y642">
        <f t="shared" si="148"/>
        <v>23.333333333333332</v>
      </c>
      <c r="Z642" s="4">
        <f t="shared" si="149"/>
        <v>6857142.8571428573</v>
      </c>
      <c r="AA642" s="3">
        <f t="shared" si="149"/>
        <v>23.333333333333332</v>
      </c>
      <c r="AB642" t="str">
        <f t="shared" si="145"/>
        <v>68A1B6</v>
      </c>
    </row>
    <row r="643" spans="14:28">
      <c r="N643">
        <v>641</v>
      </c>
      <c r="O643">
        <f t="shared" ref="O643:O706" si="151">MOD(P643,$A$5+$A$6)</f>
        <v>410</v>
      </c>
      <c r="P643">
        <f t="shared" si="139"/>
        <v>6410</v>
      </c>
      <c r="Q643">
        <f t="shared" si="140"/>
        <v>200</v>
      </c>
      <c r="R643" s="4">
        <f t="shared" si="141"/>
        <v>800000</v>
      </c>
      <c r="S643" s="3">
        <f t="shared" si="142"/>
        <v>200</v>
      </c>
      <c r="T643" t="str">
        <f t="shared" si="143"/>
        <v>C3500</v>
      </c>
      <c r="V643">
        <v>641</v>
      </c>
      <c r="W643">
        <f t="shared" si="147"/>
        <v>110</v>
      </c>
      <c r="X643">
        <f t="shared" si="150"/>
        <v>6410</v>
      </c>
      <c r="Y643">
        <f t="shared" si="148"/>
        <v>25.166666666666664</v>
      </c>
      <c r="Z643" s="4">
        <f t="shared" si="149"/>
        <v>6357615.8940397361</v>
      </c>
      <c r="AA643" s="3">
        <f t="shared" si="149"/>
        <v>25.166666666666664</v>
      </c>
      <c r="AB643" t="str">
        <f t="shared" si="145"/>
        <v>61026F</v>
      </c>
    </row>
    <row r="644" spans="14:28">
      <c r="N644">
        <v>642</v>
      </c>
      <c r="O644">
        <f t="shared" si="151"/>
        <v>420</v>
      </c>
      <c r="P644">
        <f t="shared" si="139"/>
        <v>6420</v>
      </c>
      <c r="Q644">
        <f t="shared" si="140"/>
        <v>200</v>
      </c>
      <c r="R644" s="4">
        <f t="shared" si="141"/>
        <v>800000</v>
      </c>
      <c r="S644" s="3">
        <f t="shared" si="142"/>
        <v>200</v>
      </c>
      <c r="T644" t="str">
        <f t="shared" si="143"/>
        <v>C3500</v>
      </c>
      <c r="V644">
        <v>642</v>
      </c>
      <c r="W644">
        <f t="shared" si="147"/>
        <v>120</v>
      </c>
      <c r="X644">
        <f t="shared" si="150"/>
        <v>6420</v>
      </c>
      <c r="Y644">
        <f t="shared" si="148"/>
        <v>27</v>
      </c>
      <c r="Z644" s="4">
        <f t="shared" si="149"/>
        <v>5925925.9259259263</v>
      </c>
      <c r="AA644" s="3">
        <f t="shared" si="149"/>
        <v>27</v>
      </c>
      <c r="AB644" t="str">
        <f t="shared" si="145"/>
        <v>5A6C25</v>
      </c>
    </row>
    <row r="645" spans="14:28">
      <c r="N645">
        <v>643</v>
      </c>
      <c r="O645">
        <f t="shared" si="151"/>
        <v>430</v>
      </c>
      <c r="P645">
        <f t="shared" si="139"/>
        <v>6430</v>
      </c>
      <c r="Q645">
        <f t="shared" si="140"/>
        <v>200</v>
      </c>
      <c r="R645" s="4">
        <f t="shared" si="141"/>
        <v>800000</v>
      </c>
      <c r="S645" s="3">
        <f t="shared" si="142"/>
        <v>200</v>
      </c>
      <c r="T645" t="str">
        <f t="shared" si="143"/>
        <v>C3500</v>
      </c>
      <c r="V645">
        <v>643</v>
      </c>
      <c r="W645">
        <f t="shared" si="147"/>
        <v>130</v>
      </c>
      <c r="X645">
        <f t="shared" si="150"/>
        <v>6430</v>
      </c>
      <c r="Y645">
        <f t="shared" si="148"/>
        <v>28.833333333333336</v>
      </c>
      <c r="Z645" s="4">
        <f t="shared" si="149"/>
        <v>5549132.9479768779</v>
      </c>
      <c r="AA645" s="3">
        <f t="shared" si="149"/>
        <v>28.833333333333336</v>
      </c>
      <c r="AB645" t="str">
        <f t="shared" si="145"/>
        <v>54AC4C</v>
      </c>
    </row>
    <row r="646" spans="14:28">
      <c r="N646">
        <v>644</v>
      </c>
      <c r="O646">
        <f t="shared" si="151"/>
        <v>440</v>
      </c>
      <c r="P646">
        <f t="shared" si="139"/>
        <v>6440</v>
      </c>
      <c r="Q646">
        <f t="shared" si="140"/>
        <v>200</v>
      </c>
      <c r="R646" s="4">
        <f t="shared" si="141"/>
        <v>800000</v>
      </c>
      <c r="S646" s="3">
        <f t="shared" si="142"/>
        <v>200</v>
      </c>
      <c r="T646" t="str">
        <f t="shared" si="143"/>
        <v>C3500</v>
      </c>
      <c r="V646">
        <v>644</v>
      </c>
      <c r="W646">
        <f t="shared" si="147"/>
        <v>140</v>
      </c>
      <c r="X646">
        <f t="shared" si="150"/>
        <v>6440</v>
      </c>
      <c r="Y646">
        <f t="shared" si="148"/>
        <v>30.666666666666668</v>
      </c>
      <c r="Z646" s="4">
        <f t="shared" si="149"/>
        <v>5217391.3043478262</v>
      </c>
      <c r="AA646" s="3">
        <f t="shared" si="149"/>
        <v>30.666666666666668</v>
      </c>
      <c r="AB646" t="str">
        <f t="shared" si="145"/>
        <v>4F9C6F</v>
      </c>
    </row>
    <row r="647" spans="14:28">
      <c r="N647">
        <v>645</v>
      </c>
      <c r="O647">
        <f t="shared" si="151"/>
        <v>450</v>
      </c>
      <c r="P647">
        <f t="shared" si="139"/>
        <v>6450</v>
      </c>
      <c r="Q647">
        <f t="shared" si="140"/>
        <v>200</v>
      </c>
      <c r="R647" s="4">
        <f t="shared" si="141"/>
        <v>800000</v>
      </c>
      <c r="S647" s="3">
        <f t="shared" si="142"/>
        <v>200</v>
      </c>
      <c r="T647" t="str">
        <f t="shared" si="143"/>
        <v>C3500</v>
      </c>
      <c r="V647">
        <v>645</v>
      </c>
      <c r="W647">
        <f t="shared" si="147"/>
        <v>150</v>
      </c>
      <c r="X647">
        <f t="shared" si="150"/>
        <v>6450</v>
      </c>
      <c r="Y647">
        <f t="shared" si="148"/>
        <v>32.5</v>
      </c>
      <c r="Z647" s="4">
        <f t="shared" si="149"/>
        <v>4923076.923076923</v>
      </c>
      <c r="AA647" s="3">
        <f t="shared" si="149"/>
        <v>32.5</v>
      </c>
      <c r="AB647" t="str">
        <f t="shared" si="145"/>
        <v>4B1EC4</v>
      </c>
    </row>
    <row r="648" spans="14:28">
      <c r="N648">
        <v>646</v>
      </c>
      <c r="O648">
        <f t="shared" si="151"/>
        <v>460</v>
      </c>
      <c r="P648">
        <f t="shared" si="139"/>
        <v>6460</v>
      </c>
      <c r="Q648">
        <f t="shared" si="140"/>
        <v>200</v>
      </c>
      <c r="R648" s="4">
        <f t="shared" si="141"/>
        <v>800000</v>
      </c>
      <c r="S648" s="3">
        <f t="shared" si="142"/>
        <v>200</v>
      </c>
      <c r="T648" t="str">
        <f t="shared" si="143"/>
        <v>C3500</v>
      </c>
      <c r="V648">
        <v>646</v>
      </c>
      <c r="W648">
        <f t="shared" si="147"/>
        <v>160</v>
      </c>
      <c r="X648">
        <f t="shared" si="150"/>
        <v>6460</v>
      </c>
      <c r="Y648">
        <f t="shared" si="148"/>
        <v>34.333333333333329</v>
      </c>
      <c r="Z648" s="4">
        <f t="shared" si="149"/>
        <v>4660194.1747572822</v>
      </c>
      <c r="AA648" s="3">
        <f t="shared" si="149"/>
        <v>34.333333333333329</v>
      </c>
      <c r="AB648" t="str">
        <f t="shared" si="145"/>
        <v>471BE2</v>
      </c>
    </row>
    <row r="649" spans="14:28">
      <c r="N649">
        <v>647</v>
      </c>
      <c r="O649">
        <f t="shared" si="151"/>
        <v>470</v>
      </c>
      <c r="P649">
        <f t="shared" si="139"/>
        <v>6470</v>
      </c>
      <c r="Q649">
        <f t="shared" si="140"/>
        <v>200</v>
      </c>
      <c r="R649" s="4">
        <f t="shared" si="141"/>
        <v>800000</v>
      </c>
      <c r="S649" s="3">
        <f t="shared" si="142"/>
        <v>200</v>
      </c>
      <c r="T649" t="str">
        <f t="shared" si="143"/>
        <v>C3500</v>
      </c>
      <c r="V649">
        <v>647</v>
      </c>
      <c r="W649">
        <f t="shared" si="147"/>
        <v>170</v>
      </c>
      <c r="X649">
        <f t="shared" si="150"/>
        <v>6470</v>
      </c>
      <c r="Y649">
        <f t="shared" si="148"/>
        <v>36.166666666666664</v>
      </c>
      <c r="Z649" s="4">
        <f t="shared" si="149"/>
        <v>4423963.1336405529</v>
      </c>
      <c r="AA649" s="3">
        <f t="shared" si="149"/>
        <v>36.166666666666664</v>
      </c>
      <c r="AB649" t="str">
        <f t="shared" si="145"/>
        <v>43811B</v>
      </c>
    </row>
    <row r="650" spans="14:28">
      <c r="N650">
        <v>648</v>
      </c>
      <c r="O650">
        <f t="shared" si="151"/>
        <v>480</v>
      </c>
      <c r="P650">
        <f t="shared" si="139"/>
        <v>6480</v>
      </c>
      <c r="Q650">
        <f t="shared" si="140"/>
        <v>200</v>
      </c>
      <c r="R650" s="4">
        <f t="shared" si="141"/>
        <v>800000</v>
      </c>
      <c r="S650" s="3">
        <f t="shared" si="142"/>
        <v>200</v>
      </c>
      <c r="T650" t="str">
        <f t="shared" si="143"/>
        <v>C3500</v>
      </c>
      <c r="V650">
        <v>648</v>
      </c>
      <c r="W650">
        <f t="shared" si="147"/>
        <v>180</v>
      </c>
      <c r="X650">
        <f t="shared" si="150"/>
        <v>6480</v>
      </c>
      <c r="Y650">
        <f t="shared" si="148"/>
        <v>38</v>
      </c>
      <c r="Z650" s="4">
        <f t="shared" si="149"/>
        <v>4210526.3157894732</v>
      </c>
      <c r="AA650" s="3">
        <f t="shared" si="149"/>
        <v>38.000000000000007</v>
      </c>
      <c r="AB650" t="str">
        <f t="shared" si="145"/>
        <v>403F5E</v>
      </c>
    </row>
    <row r="651" spans="14:28">
      <c r="N651">
        <v>649</v>
      </c>
      <c r="O651">
        <f t="shared" si="151"/>
        <v>490</v>
      </c>
      <c r="P651">
        <f t="shared" ref="P651:P714" si="152">N651*10</f>
        <v>6490</v>
      </c>
      <c r="Q651">
        <f t="shared" ref="Q651:Q714" si="153">IF(O651&gt;$A$5,0,IF(O651&lt;$A$4,O651/($A$4)*($A$2-$A$3)+$A$3,IF($A$5-O651&lt;$A$4,($A$5-O651)/($A$4)*($A$2-$A$3)+$A$3,$A$2)))</f>
        <v>200</v>
      </c>
      <c r="R651" s="4">
        <f t="shared" ref="R651:R714" si="154">IFERROR(160*1000*1000/Q651,0)</f>
        <v>800000</v>
      </c>
      <c r="S651" s="3">
        <f t="shared" ref="S651:S714" si="155">IFERROR(160*1000*1000/R651,0)</f>
        <v>200</v>
      </c>
      <c r="T651" t="str">
        <f t="shared" ref="T651:T714" si="156">DEC2HEX(R651)</f>
        <v>C3500</v>
      </c>
      <c r="V651">
        <v>649</v>
      </c>
      <c r="W651">
        <f t="shared" si="147"/>
        <v>190</v>
      </c>
      <c r="X651">
        <f t="shared" si="150"/>
        <v>6490</v>
      </c>
      <c r="Y651">
        <f t="shared" si="148"/>
        <v>39.833333333333329</v>
      </c>
      <c r="Z651" s="4">
        <f t="shared" si="149"/>
        <v>4016736.4016736406</v>
      </c>
      <c r="AA651" s="3">
        <f t="shared" si="149"/>
        <v>39.833333333333329</v>
      </c>
      <c r="AB651" t="str">
        <f t="shared" si="145"/>
        <v>3D4A60</v>
      </c>
    </row>
    <row r="652" spans="14:28">
      <c r="N652">
        <v>650</v>
      </c>
      <c r="O652">
        <f t="shared" si="151"/>
        <v>500</v>
      </c>
      <c r="P652">
        <f t="shared" si="152"/>
        <v>6500</v>
      </c>
      <c r="Q652">
        <f t="shared" si="153"/>
        <v>200</v>
      </c>
      <c r="R652" s="4">
        <f t="shared" si="154"/>
        <v>800000</v>
      </c>
      <c r="S652" s="3">
        <f t="shared" si="155"/>
        <v>200</v>
      </c>
      <c r="T652" t="str">
        <f t="shared" si="156"/>
        <v>C3500</v>
      </c>
      <c r="V652">
        <v>650</v>
      </c>
      <c r="W652">
        <f t="shared" si="147"/>
        <v>200</v>
      </c>
      <c r="X652">
        <f t="shared" si="150"/>
        <v>6500</v>
      </c>
      <c r="Y652">
        <f t="shared" si="148"/>
        <v>41.666666666666664</v>
      </c>
      <c r="Z652" s="4">
        <f t="shared" si="149"/>
        <v>3840000</v>
      </c>
      <c r="AA652" s="3">
        <f t="shared" si="149"/>
        <v>41.666666666666664</v>
      </c>
      <c r="AB652" t="str">
        <f t="shared" si="145"/>
        <v>3A9800</v>
      </c>
    </row>
    <row r="653" spans="14:28">
      <c r="N653">
        <v>651</v>
      </c>
      <c r="O653">
        <f t="shared" si="151"/>
        <v>510</v>
      </c>
      <c r="P653">
        <f t="shared" si="152"/>
        <v>6510</v>
      </c>
      <c r="Q653">
        <f t="shared" si="153"/>
        <v>200</v>
      </c>
      <c r="R653" s="4">
        <f t="shared" si="154"/>
        <v>800000</v>
      </c>
      <c r="S653" s="3">
        <f t="shared" si="155"/>
        <v>200</v>
      </c>
      <c r="T653" t="str">
        <f t="shared" si="156"/>
        <v>C3500</v>
      </c>
      <c r="V653">
        <v>651</v>
      </c>
      <c r="W653">
        <f t="shared" si="147"/>
        <v>210</v>
      </c>
      <c r="X653">
        <f t="shared" si="150"/>
        <v>6510</v>
      </c>
      <c r="Y653">
        <f t="shared" si="148"/>
        <v>43.5</v>
      </c>
      <c r="Z653" s="4">
        <f t="shared" si="149"/>
        <v>3678160.9195402297</v>
      </c>
      <c r="AA653" s="3">
        <f t="shared" si="149"/>
        <v>43.5</v>
      </c>
      <c r="AB653" t="str">
        <f t="shared" si="145"/>
        <v>381FD0</v>
      </c>
    </row>
    <row r="654" spans="14:28">
      <c r="N654">
        <v>652</v>
      </c>
      <c r="O654">
        <f t="shared" si="151"/>
        <v>520</v>
      </c>
      <c r="P654">
        <f t="shared" si="152"/>
        <v>6520</v>
      </c>
      <c r="Q654">
        <f t="shared" si="153"/>
        <v>200</v>
      </c>
      <c r="R654" s="4">
        <f t="shared" si="154"/>
        <v>800000</v>
      </c>
      <c r="S654" s="3">
        <f t="shared" si="155"/>
        <v>200</v>
      </c>
      <c r="T654" t="str">
        <f t="shared" si="156"/>
        <v>C3500</v>
      </c>
      <c r="V654">
        <v>652</v>
      </c>
      <c r="W654">
        <f t="shared" si="147"/>
        <v>220</v>
      </c>
      <c r="X654">
        <f t="shared" si="150"/>
        <v>6520</v>
      </c>
      <c r="Y654">
        <f t="shared" si="148"/>
        <v>45.333333333333329</v>
      </c>
      <c r="Z654" s="4">
        <f t="shared" si="149"/>
        <v>3529411.7647058829</v>
      </c>
      <c r="AA654" s="3">
        <f t="shared" si="149"/>
        <v>45.333333333333329</v>
      </c>
      <c r="AB654" t="str">
        <f t="shared" si="145"/>
        <v>35DAC3</v>
      </c>
    </row>
    <row r="655" spans="14:28">
      <c r="N655">
        <v>653</v>
      </c>
      <c r="O655">
        <f t="shared" si="151"/>
        <v>530</v>
      </c>
      <c r="P655">
        <f t="shared" si="152"/>
        <v>6530</v>
      </c>
      <c r="Q655">
        <f t="shared" si="153"/>
        <v>200</v>
      </c>
      <c r="R655" s="4">
        <f t="shared" si="154"/>
        <v>800000</v>
      </c>
      <c r="S655" s="3">
        <f t="shared" si="155"/>
        <v>200</v>
      </c>
      <c r="T655" t="str">
        <f t="shared" si="156"/>
        <v>C3500</v>
      </c>
      <c r="V655">
        <v>653</v>
      </c>
      <c r="W655">
        <f t="shared" si="147"/>
        <v>230</v>
      </c>
      <c r="X655">
        <f t="shared" si="150"/>
        <v>6530</v>
      </c>
      <c r="Y655">
        <f t="shared" si="148"/>
        <v>47.166666666666671</v>
      </c>
      <c r="Z655" s="4">
        <f t="shared" si="149"/>
        <v>3392226.1484098937</v>
      </c>
      <c r="AA655" s="3">
        <f t="shared" si="149"/>
        <v>47.166666666666671</v>
      </c>
      <c r="AB655" t="str">
        <f t="shared" si="145"/>
        <v>33C2E2</v>
      </c>
    </row>
    <row r="656" spans="14:28">
      <c r="N656">
        <v>654</v>
      </c>
      <c r="O656">
        <f t="shared" si="151"/>
        <v>540</v>
      </c>
      <c r="P656">
        <f t="shared" si="152"/>
        <v>6540</v>
      </c>
      <c r="Q656">
        <f t="shared" si="153"/>
        <v>200</v>
      </c>
      <c r="R656" s="4">
        <f t="shared" si="154"/>
        <v>800000</v>
      </c>
      <c r="S656" s="3">
        <f t="shared" si="155"/>
        <v>200</v>
      </c>
      <c r="T656" t="str">
        <f t="shared" si="156"/>
        <v>C3500</v>
      </c>
      <c r="V656">
        <v>654</v>
      </c>
      <c r="W656">
        <f t="shared" si="147"/>
        <v>240</v>
      </c>
      <c r="X656">
        <f t="shared" si="150"/>
        <v>6540</v>
      </c>
      <c r="Y656">
        <f t="shared" si="148"/>
        <v>49</v>
      </c>
      <c r="Z656" s="4">
        <f t="shared" si="149"/>
        <v>3265306.1224489794</v>
      </c>
      <c r="AA656" s="3">
        <f t="shared" si="149"/>
        <v>49</v>
      </c>
      <c r="AB656" t="str">
        <f t="shared" si="145"/>
        <v>31D31A</v>
      </c>
    </row>
    <row r="657" spans="14:28">
      <c r="N657">
        <v>655</v>
      </c>
      <c r="O657">
        <f t="shared" si="151"/>
        <v>550</v>
      </c>
      <c r="P657">
        <f t="shared" si="152"/>
        <v>6550</v>
      </c>
      <c r="Q657">
        <f t="shared" si="153"/>
        <v>200</v>
      </c>
      <c r="R657" s="4">
        <f t="shared" si="154"/>
        <v>800000</v>
      </c>
      <c r="S657" s="3">
        <f t="shared" si="155"/>
        <v>200</v>
      </c>
      <c r="T657" t="str">
        <f t="shared" si="156"/>
        <v>C3500</v>
      </c>
      <c r="V657">
        <v>655</v>
      </c>
      <c r="W657">
        <f t="shared" si="147"/>
        <v>250</v>
      </c>
      <c r="X657">
        <f t="shared" si="150"/>
        <v>6550</v>
      </c>
      <c r="Y657">
        <f t="shared" si="148"/>
        <v>50.833333333333336</v>
      </c>
      <c r="Z657" s="4">
        <f t="shared" si="149"/>
        <v>3147540.9836065574</v>
      </c>
      <c r="AA657" s="3">
        <f t="shared" si="149"/>
        <v>50.833333333333336</v>
      </c>
      <c r="AB657" t="str">
        <f t="shared" si="145"/>
        <v>300714</v>
      </c>
    </row>
    <row r="658" spans="14:28">
      <c r="N658">
        <v>656</v>
      </c>
      <c r="O658">
        <f t="shared" si="151"/>
        <v>560</v>
      </c>
      <c r="P658">
        <f t="shared" si="152"/>
        <v>6560</v>
      </c>
      <c r="Q658">
        <f t="shared" si="153"/>
        <v>200</v>
      </c>
      <c r="R658" s="4">
        <f t="shared" si="154"/>
        <v>800000</v>
      </c>
      <c r="S658" s="3">
        <f t="shared" si="155"/>
        <v>200</v>
      </c>
      <c r="T658" t="str">
        <f t="shared" si="156"/>
        <v>C3500</v>
      </c>
      <c r="V658">
        <v>656</v>
      </c>
      <c r="W658">
        <f t="shared" si="147"/>
        <v>260</v>
      </c>
      <c r="X658">
        <f t="shared" si="150"/>
        <v>6560</v>
      </c>
      <c r="Y658">
        <f t="shared" si="148"/>
        <v>52.666666666666671</v>
      </c>
      <c r="Z658" s="4">
        <f t="shared" si="149"/>
        <v>3037974.6835443038</v>
      </c>
      <c r="AA658" s="3">
        <f t="shared" si="149"/>
        <v>52.666666666666664</v>
      </c>
      <c r="AB658" t="str">
        <f t="shared" si="145"/>
        <v>2E5B16</v>
      </c>
    </row>
    <row r="659" spans="14:28">
      <c r="N659">
        <v>657</v>
      </c>
      <c r="O659">
        <f t="shared" si="151"/>
        <v>570</v>
      </c>
      <c r="P659">
        <f t="shared" si="152"/>
        <v>6570</v>
      </c>
      <c r="Q659">
        <f t="shared" si="153"/>
        <v>200</v>
      </c>
      <c r="R659" s="4">
        <f t="shared" si="154"/>
        <v>800000</v>
      </c>
      <c r="S659" s="3">
        <f t="shared" si="155"/>
        <v>200</v>
      </c>
      <c r="T659" t="str">
        <f t="shared" si="156"/>
        <v>C3500</v>
      </c>
      <c r="V659">
        <v>657</v>
      </c>
      <c r="W659">
        <f t="shared" si="147"/>
        <v>270</v>
      </c>
      <c r="X659">
        <f t="shared" si="150"/>
        <v>6570</v>
      </c>
      <c r="Y659">
        <f t="shared" si="148"/>
        <v>54.5</v>
      </c>
      <c r="Z659" s="4">
        <f t="shared" ref="Z659:AA678" si="157">IFERROR(160*1000*1000/Y659,0)</f>
        <v>2935779.8165137614</v>
      </c>
      <c r="AA659" s="3">
        <f t="shared" si="157"/>
        <v>54.5</v>
      </c>
      <c r="AB659" t="str">
        <f t="shared" si="145"/>
        <v>2CCBE3</v>
      </c>
    </row>
    <row r="660" spans="14:28">
      <c r="N660">
        <v>658</v>
      </c>
      <c r="O660">
        <f t="shared" si="151"/>
        <v>580</v>
      </c>
      <c r="P660">
        <f t="shared" si="152"/>
        <v>6580</v>
      </c>
      <c r="Q660">
        <f t="shared" si="153"/>
        <v>200</v>
      </c>
      <c r="R660" s="4">
        <f t="shared" si="154"/>
        <v>800000</v>
      </c>
      <c r="S660" s="3">
        <f t="shared" si="155"/>
        <v>200</v>
      </c>
      <c r="T660" t="str">
        <f t="shared" si="156"/>
        <v>C3500</v>
      </c>
      <c r="V660">
        <v>658</v>
      </c>
      <c r="W660">
        <f t="shared" si="147"/>
        <v>280</v>
      </c>
      <c r="X660">
        <f t="shared" si="150"/>
        <v>6580</v>
      </c>
      <c r="Y660">
        <f t="shared" si="148"/>
        <v>56.333333333333336</v>
      </c>
      <c r="Z660" s="4">
        <f t="shared" si="157"/>
        <v>2840236.6863905326</v>
      </c>
      <c r="AA660" s="3">
        <f t="shared" si="157"/>
        <v>56.333333333333329</v>
      </c>
      <c r="AB660" t="str">
        <f t="shared" si="145"/>
        <v>2B56AC</v>
      </c>
    </row>
    <row r="661" spans="14:28">
      <c r="N661">
        <v>659</v>
      </c>
      <c r="O661">
        <f t="shared" si="151"/>
        <v>590</v>
      </c>
      <c r="P661">
        <f t="shared" si="152"/>
        <v>6590</v>
      </c>
      <c r="Q661">
        <f t="shared" si="153"/>
        <v>200</v>
      </c>
      <c r="R661" s="4">
        <f t="shared" si="154"/>
        <v>800000</v>
      </c>
      <c r="S661" s="3">
        <f t="shared" si="155"/>
        <v>200</v>
      </c>
      <c r="T661" t="str">
        <f t="shared" si="156"/>
        <v>C3500</v>
      </c>
      <c r="V661">
        <v>659</v>
      </c>
      <c r="W661">
        <f t="shared" si="147"/>
        <v>290</v>
      </c>
      <c r="X661">
        <f t="shared" si="150"/>
        <v>6590</v>
      </c>
      <c r="Y661">
        <f t="shared" si="148"/>
        <v>58.166666666666664</v>
      </c>
      <c r="Z661" s="4">
        <f t="shared" si="157"/>
        <v>2750716.3323782235</v>
      </c>
      <c r="AA661" s="3">
        <f t="shared" si="157"/>
        <v>58.166666666666664</v>
      </c>
      <c r="AB661" t="str">
        <f t="shared" si="145"/>
        <v>29F8FC</v>
      </c>
    </row>
    <row r="662" spans="14:28">
      <c r="N662">
        <v>660</v>
      </c>
      <c r="O662">
        <f t="shared" si="151"/>
        <v>600</v>
      </c>
      <c r="P662">
        <f t="shared" si="152"/>
        <v>6600</v>
      </c>
      <c r="Q662">
        <f t="shared" si="153"/>
        <v>200</v>
      </c>
      <c r="R662" s="4">
        <f t="shared" si="154"/>
        <v>800000</v>
      </c>
      <c r="S662" s="3">
        <f t="shared" si="155"/>
        <v>200</v>
      </c>
      <c r="T662" t="str">
        <f t="shared" si="156"/>
        <v>C3500</v>
      </c>
      <c r="V662">
        <v>660</v>
      </c>
      <c r="W662">
        <f t="shared" si="147"/>
        <v>300</v>
      </c>
      <c r="X662">
        <f t="shared" si="150"/>
        <v>6600</v>
      </c>
      <c r="Y662">
        <f t="shared" si="148"/>
        <v>60</v>
      </c>
      <c r="Z662" s="4">
        <f t="shared" si="157"/>
        <v>2666666.6666666665</v>
      </c>
      <c r="AA662" s="3">
        <f t="shared" si="157"/>
        <v>60</v>
      </c>
      <c r="AB662" t="str">
        <f t="shared" si="145"/>
        <v>28B0AA</v>
      </c>
    </row>
    <row r="663" spans="14:28">
      <c r="N663">
        <v>661</v>
      </c>
      <c r="O663">
        <f t="shared" si="151"/>
        <v>610</v>
      </c>
      <c r="P663">
        <f t="shared" si="152"/>
        <v>6610</v>
      </c>
      <c r="Q663">
        <f t="shared" si="153"/>
        <v>200</v>
      </c>
      <c r="R663" s="4">
        <f t="shared" si="154"/>
        <v>800000</v>
      </c>
      <c r="S663" s="3">
        <f t="shared" si="155"/>
        <v>200</v>
      </c>
      <c r="T663" t="str">
        <f t="shared" si="156"/>
        <v>C3500</v>
      </c>
      <c r="V663">
        <v>661</v>
      </c>
      <c r="W663">
        <f t="shared" si="147"/>
        <v>310</v>
      </c>
      <c r="X663">
        <f t="shared" si="150"/>
        <v>6610</v>
      </c>
      <c r="Y663">
        <f t="shared" si="148"/>
        <v>60</v>
      </c>
      <c r="Z663" s="4">
        <f t="shared" si="157"/>
        <v>2666666.6666666665</v>
      </c>
      <c r="AA663" s="3">
        <f t="shared" si="157"/>
        <v>60</v>
      </c>
      <c r="AB663" t="str">
        <f t="shared" si="145"/>
        <v>28B0AA</v>
      </c>
    </row>
    <row r="664" spans="14:28">
      <c r="N664">
        <v>662</v>
      </c>
      <c r="O664">
        <f t="shared" si="151"/>
        <v>620</v>
      </c>
      <c r="P664">
        <f t="shared" si="152"/>
        <v>6620</v>
      </c>
      <c r="Q664">
        <f t="shared" si="153"/>
        <v>200</v>
      </c>
      <c r="R664" s="4">
        <f t="shared" si="154"/>
        <v>800000</v>
      </c>
      <c r="S664" s="3">
        <f t="shared" si="155"/>
        <v>200</v>
      </c>
      <c r="T664" t="str">
        <f t="shared" si="156"/>
        <v>C3500</v>
      </c>
      <c r="V664">
        <v>662</v>
      </c>
      <c r="W664">
        <f t="shared" si="147"/>
        <v>320</v>
      </c>
      <c r="X664">
        <f t="shared" si="150"/>
        <v>6620</v>
      </c>
      <c r="Y664">
        <f t="shared" si="148"/>
        <v>60</v>
      </c>
      <c r="Z664" s="4">
        <f t="shared" si="157"/>
        <v>2666666.6666666665</v>
      </c>
      <c r="AA664" s="3">
        <f t="shared" si="157"/>
        <v>60</v>
      </c>
      <c r="AB664" t="str">
        <f t="shared" si="145"/>
        <v>28B0AA</v>
      </c>
    </row>
    <row r="665" spans="14:28">
      <c r="N665">
        <v>663</v>
      </c>
      <c r="O665">
        <f t="shared" si="151"/>
        <v>630</v>
      </c>
      <c r="P665">
        <f t="shared" si="152"/>
        <v>6630</v>
      </c>
      <c r="Q665">
        <f t="shared" si="153"/>
        <v>200</v>
      </c>
      <c r="R665" s="4">
        <f t="shared" si="154"/>
        <v>800000</v>
      </c>
      <c r="S665" s="3">
        <f t="shared" si="155"/>
        <v>200</v>
      </c>
      <c r="T665" t="str">
        <f t="shared" si="156"/>
        <v>C3500</v>
      </c>
      <c r="V665">
        <v>663</v>
      </c>
      <c r="W665">
        <f t="shared" si="147"/>
        <v>330</v>
      </c>
      <c r="X665">
        <f t="shared" si="150"/>
        <v>6630</v>
      </c>
      <c r="Y665">
        <f t="shared" si="148"/>
        <v>60</v>
      </c>
      <c r="Z665" s="4">
        <f t="shared" si="157"/>
        <v>2666666.6666666665</v>
      </c>
      <c r="AA665" s="3">
        <f t="shared" si="157"/>
        <v>60</v>
      </c>
      <c r="AB665" t="str">
        <f t="shared" si="145"/>
        <v>28B0AA</v>
      </c>
    </row>
    <row r="666" spans="14:28">
      <c r="N666">
        <v>664</v>
      </c>
      <c r="O666">
        <f t="shared" si="151"/>
        <v>640</v>
      </c>
      <c r="P666">
        <f t="shared" si="152"/>
        <v>6640</v>
      </c>
      <c r="Q666">
        <f t="shared" si="153"/>
        <v>200</v>
      </c>
      <c r="R666" s="4">
        <f t="shared" si="154"/>
        <v>800000</v>
      </c>
      <c r="S666" s="3">
        <f t="shared" si="155"/>
        <v>200</v>
      </c>
      <c r="T666" t="str">
        <f t="shared" si="156"/>
        <v>C3500</v>
      </c>
      <c r="V666">
        <v>664</v>
      </c>
      <c r="W666">
        <f t="shared" si="147"/>
        <v>340</v>
      </c>
      <c r="X666">
        <f t="shared" si="150"/>
        <v>6640</v>
      </c>
      <c r="Y666">
        <f t="shared" si="148"/>
        <v>60</v>
      </c>
      <c r="Z666" s="4">
        <f t="shared" si="157"/>
        <v>2666666.6666666665</v>
      </c>
      <c r="AA666" s="3">
        <f t="shared" si="157"/>
        <v>60</v>
      </c>
      <c r="AB666" t="str">
        <f t="shared" si="145"/>
        <v>28B0AA</v>
      </c>
    </row>
    <row r="667" spans="14:28">
      <c r="N667">
        <v>665</v>
      </c>
      <c r="O667">
        <f t="shared" si="151"/>
        <v>650</v>
      </c>
      <c r="P667">
        <f t="shared" si="152"/>
        <v>6650</v>
      </c>
      <c r="Q667">
        <f t="shared" si="153"/>
        <v>200</v>
      </c>
      <c r="R667" s="4">
        <f t="shared" si="154"/>
        <v>800000</v>
      </c>
      <c r="S667" s="3">
        <f t="shared" si="155"/>
        <v>200</v>
      </c>
      <c r="T667" t="str">
        <f t="shared" si="156"/>
        <v>C3500</v>
      </c>
      <c r="V667">
        <v>665</v>
      </c>
      <c r="W667">
        <f t="shared" si="147"/>
        <v>350</v>
      </c>
      <c r="X667">
        <f t="shared" si="150"/>
        <v>6650</v>
      </c>
      <c r="Y667">
        <f t="shared" si="148"/>
        <v>60</v>
      </c>
      <c r="Z667" s="4">
        <f t="shared" si="157"/>
        <v>2666666.6666666665</v>
      </c>
      <c r="AA667" s="3">
        <f t="shared" si="157"/>
        <v>60</v>
      </c>
      <c r="AB667" t="str">
        <f t="shared" si="145"/>
        <v>28B0AA</v>
      </c>
    </row>
    <row r="668" spans="14:28">
      <c r="N668">
        <v>666</v>
      </c>
      <c r="O668">
        <f t="shared" si="151"/>
        <v>660</v>
      </c>
      <c r="P668">
        <f t="shared" si="152"/>
        <v>6660</v>
      </c>
      <c r="Q668">
        <f t="shared" si="153"/>
        <v>200</v>
      </c>
      <c r="R668" s="4">
        <f t="shared" si="154"/>
        <v>800000</v>
      </c>
      <c r="S668" s="3">
        <f t="shared" si="155"/>
        <v>200</v>
      </c>
      <c r="T668" t="str">
        <f t="shared" si="156"/>
        <v>C3500</v>
      </c>
      <c r="V668">
        <v>666</v>
      </c>
      <c r="W668">
        <f t="shared" si="147"/>
        <v>360</v>
      </c>
      <c r="X668">
        <f t="shared" si="150"/>
        <v>6660</v>
      </c>
      <c r="Y668">
        <f t="shared" si="148"/>
        <v>60</v>
      </c>
      <c r="Z668" s="4">
        <f t="shared" si="157"/>
        <v>2666666.6666666665</v>
      </c>
      <c r="AA668" s="3">
        <f t="shared" si="157"/>
        <v>60</v>
      </c>
      <c r="AB668" t="str">
        <f t="shared" si="145"/>
        <v>28B0AA</v>
      </c>
    </row>
    <row r="669" spans="14:28">
      <c r="N669">
        <v>667</v>
      </c>
      <c r="O669">
        <f t="shared" si="151"/>
        <v>670</v>
      </c>
      <c r="P669">
        <f t="shared" si="152"/>
        <v>6670</v>
      </c>
      <c r="Q669">
        <f t="shared" si="153"/>
        <v>200</v>
      </c>
      <c r="R669" s="4">
        <f t="shared" si="154"/>
        <v>800000</v>
      </c>
      <c r="S669" s="3">
        <f t="shared" si="155"/>
        <v>200</v>
      </c>
      <c r="T669" t="str">
        <f t="shared" si="156"/>
        <v>C3500</v>
      </c>
      <c r="V669">
        <v>667</v>
      </c>
      <c r="W669">
        <f t="shared" si="147"/>
        <v>370</v>
      </c>
      <c r="X669">
        <f t="shared" si="150"/>
        <v>6670</v>
      </c>
      <c r="Y669">
        <f t="shared" si="148"/>
        <v>60</v>
      </c>
      <c r="Z669" s="4">
        <f t="shared" si="157"/>
        <v>2666666.6666666665</v>
      </c>
      <c r="AA669" s="3">
        <f t="shared" si="157"/>
        <v>60</v>
      </c>
      <c r="AB669" t="str">
        <f t="shared" si="145"/>
        <v>28B0AA</v>
      </c>
    </row>
    <row r="670" spans="14:28">
      <c r="N670">
        <v>668</v>
      </c>
      <c r="O670">
        <f t="shared" si="151"/>
        <v>680</v>
      </c>
      <c r="P670">
        <f t="shared" si="152"/>
        <v>6680</v>
      </c>
      <c r="Q670">
        <f t="shared" si="153"/>
        <v>200</v>
      </c>
      <c r="R670" s="4">
        <f t="shared" si="154"/>
        <v>800000</v>
      </c>
      <c r="S670" s="3">
        <f t="shared" si="155"/>
        <v>200</v>
      </c>
      <c r="T670" t="str">
        <f t="shared" si="156"/>
        <v>C3500</v>
      </c>
      <c r="V670">
        <v>668</v>
      </c>
      <c r="W670">
        <f t="shared" si="147"/>
        <v>380</v>
      </c>
      <c r="X670">
        <f t="shared" si="150"/>
        <v>6680</v>
      </c>
      <c r="Y670">
        <f t="shared" si="148"/>
        <v>60</v>
      </c>
      <c r="Z670" s="4">
        <f t="shared" si="157"/>
        <v>2666666.6666666665</v>
      </c>
      <c r="AA670" s="3">
        <f t="shared" si="157"/>
        <v>60</v>
      </c>
      <c r="AB670" t="str">
        <f t="shared" si="145"/>
        <v>28B0AA</v>
      </c>
    </row>
    <row r="671" spans="14:28">
      <c r="N671">
        <v>669</v>
      </c>
      <c r="O671">
        <f t="shared" si="151"/>
        <v>690</v>
      </c>
      <c r="P671">
        <f t="shared" si="152"/>
        <v>6690</v>
      </c>
      <c r="Q671">
        <f t="shared" si="153"/>
        <v>200</v>
      </c>
      <c r="R671" s="4">
        <f t="shared" si="154"/>
        <v>800000</v>
      </c>
      <c r="S671" s="3">
        <f t="shared" si="155"/>
        <v>200</v>
      </c>
      <c r="T671" t="str">
        <f t="shared" si="156"/>
        <v>C3500</v>
      </c>
      <c r="V671">
        <v>669</v>
      </c>
      <c r="W671">
        <f t="shared" si="147"/>
        <v>390</v>
      </c>
      <c r="X671">
        <f t="shared" si="150"/>
        <v>6690</v>
      </c>
      <c r="Y671">
        <f t="shared" si="148"/>
        <v>60</v>
      </c>
      <c r="Z671" s="4">
        <f t="shared" si="157"/>
        <v>2666666.6666666665</v>
      </c>
      <c r="AA671" s="3">
        <f t="shared" si="157"/>
        <v>60</v>
      </c>
      <c r="AB671" t="str">
        <f t="shared" si="145"/>
        <v>28B0AA</v>
      </c>
    </row>
    <row r="672" spans="14:28">
      <c r="N672">
        <v>670</v>
      </c>
      <c r="O672">
        <f t="shared" si="151"/>
        <v>700</v>
      </c>
      <c r="P672">
        <f t="shared" si="152"/>
        <v>6700</v>
      </c>
      <c r="Q672">
        <f t="shared" si="153"/>
        <v>200</v>
      </c>
      <c r="R672" s="4">
        <f t="shared" si="154"/>
        <v>800000</v>
      </c>
      <c r="S672" s="3">
        <f t="shared" si="155"/>
        <v>200</v>
      </c>
      <c r="T672" t="str">
        <f t="shared" si="156"/>
        <v>C3500</v>
      </c>
      <c r="V672">
        <v>670</v>
      </c>
      <c r="W672">
        <f t="shared" si="147"/>
        <v>400</v>
      </c>
      <c r="X672">
        <f t="shared" si="150"/>
        <v>6700</v>
      </c>
      <c r="Y672">
        <f t="shared" si="148"/>
        <v>60</v>
      </c>
      <c r="Z672" s="4">
        <f t="shared" si="157"/>
        <v>2666666.6666666665</v>
      </c>
      <c r="AA672" s="3">
        <f t="shared" si="157"/>
        <v>60</v>
      </c>
      <c r="AB672" t="str">
        <f t="shared" si="145"/>
        <v>28B0AA</v>
      </c>
    </row>
    <row r="673" spans="14:28">
      <c r="N673">
        <v>671</v>
      </c>
      <c r="O673">
        <f t="shared" si="151"/>
        <v>710</v>
      </c>
      <c r="P673">
        <f t="shared" si="152"/>
        <v>6710</v>
      </c>
      <c r="Q673">
        <f t="shared" si="153"/>
        <v>200</v>
      </c>
      <c r="R673" s="4">
        <f t="shared" si="154"/>
        <v>800000</v>
      </c>
      <c r="S673" s="3">
        <f t="shared" si="155"/>
        <v>200</v>
      </c>
      <c r="T673" t="str">
        <f t="shared" si="156"/>
        <v>C3500</v>
      </c>
      <c r="V673">
        <v>671</v>
      </c>
      <c r="W673">
        <f t="shared" si="147"/>
        <v>410</v>
      </c>
      <c r="X673">
        <f t="shared" si="150"/>
        <v>6710</v>
      </c>
      <c r="Y673">
        <f t="shared" si="148"/>
        <v>60</v>
      </c>
      <c r="Z673" s="4">
        <f t="shared" si="157"/>
        <v>2666666.6666666665</v>
      </c>
      <c r="AA673" s="3">
        <f t="shared" si="157"/>
        <v>60</v>
      </c>
      <c r="AB673" t="str">
        <f t="shared" si="145"/>
        <v>28B0AA</v>
      </c>
    </row>
    <row r="674" spans="14:28">
      <c r="N674">
        <v>672</v>
      </c>
      <c r="O674">
        <f t="shared" si="151"/>
        <v>720</v>
      </c>
      <c r="P674">
        <f t="shared" si="152"/>
        <v>6720</v>
      </c>
      <c r="Q674">
        <f t="shared" si="153"/>
        <v>200</v>
      </c>
      <c r="R674" s="4">
        <f t="shared" si="154"/>
        <v>800000</v>
      </c>
      <c r="S674" s="3">
        <f t="shared" si="155"/>
        <v>200</v>
      </c>
      <c r="T674" t="str">
        <f t="shared" si="156"/>
        <v>C3500</v>
      </c>
      <c r="V674">
        <v>672</v>
      </c>
      <c r="W674">
        <f t="shared" si="147"/>
        <v>420</v>
      </c>
      <c r="X674">
        <f t="shared" si="150"/>
        <v>6720</v>
      </c>
      <c r="Y674">
        <f t="shared" si="148"/>
        <v>60</v>
      </c>
      <c r="Z674" s="4">
        <f t="shared" si="157"/>
        <v>2666666.6666666665</v>
      </c>
      <c r="AA674" s="3">
        <f t="shared" si="157"/>
        <v>60</v>
      </c>
      <c r="AB674" t="str">
        <f t="shared" ref="AB674:AB737" si="158">DEC2HEX(Z674)</f>
        <v>28B0AA</v>
      </c>
    </row>
    <row r="675" spans="14:28">
      <c r="N675">
        <v>673</v>
      </c>
      <c r="O675">
        <f t="shared" si="151"/>
        <v>730</v>
      </c>
      <c r="P675">
        <f t="shared" si="152"/>
        <v>6730</v>
      </c>
      <c r="Q675">
        <f t="shared" si="153"/>
        <v>200</v>
      </c>
      <c r="R675" s="4">
        <f t="shared" si="154"/>
        <v>800000</v>
      </c>
      <c r="S675" s="3">
        <f t="shared" si="155"/>
        <v>200</v>
      </c>
      <c r="T675" t="str">
        <f t="shared" si="156"/>
        <v>C3500</v>
      </c>
      <c r="V675">
        <v>673</v>
      </c>
      <c r="W675">
        <f t="shared" si="147"/>
        <v>430</v>
      </c>
      <c r="X675">
        <f t="shared" si="150"/>
        <v>6730</v>
      </c>
      <c r="Y675">
        <f t="shared" si="148"/>
        <v>60</v>
      </c>
      <c r="Z675" s="4">
        <f t="shared" si="157"/>
        <v>2666666.6666666665</v>
      </c>
      <c r="AA675" s="3">
        <f t="shared" si="157"/>
        <v>60</v>
      </c>
      <c r="AB675" t="str">
        <f t="shared" si="158"/>
        <v>28B0AA</v>
      </c>
    </row>
    <row r="676" spans="14:28">
      <c r="N676">
        <v>674</v>
      </c>
      <c r="O676">
        <f t="shared" si="151"/>
        <v>740</v>
      </c>
      <c r="P676">
        <f t="shared" si="152"/>
        <v>6740</v>
      </c>
      <c r="Q676">
        <f t="shared" si="153"/>
        <v>200</v>
      </c>
      <c r="R676" s="4">
        <f t="shared" si="154"/>
        <v>800000</v>
      </c>
      <c r="S676" s="3">
        <f t="shared" si="155"/>
        <v>200</v>
      </c>
      <c r="T676" t="str">
        <f t="shared" si="156"/>
        <v>C3500</v>
      </c>
      <c r="V676">
        <v>674</v>
      </c>
      <c r="W676">
        <f t="shared" si="147"/>
        <v>440</v>
      </c>
      <c r="X676">
        <f t="shared" si="150"/>
        <v>6740</v>
      </c>
      <c r="Y676">
        <f t="shared" si="148"/>
        <v>60</v>
      </c>
      <c r="Z676" s="4">
        <f t="shared" si="157"/>
        <v>2666666.6666666665</v>
      </c>
      <c r="AA676" s="3">
        <f t="shared" si="157"/>
        <v>60</v>
      </c>
      <c r="AB676" t="str">
        <f t="shared" si="158"/>
        <v>28B0AA</v>
      </c>
    </row>
    <row r="677" spans="14:28">
      <c r="N677">
        <v>675</v>
      </c>
      <c r="O677">
        <f t="shared" si="151"/>
        <v>750</v>
      </c>
      <c r="P677">
        <f t="shared" si="152"/>
        <v>6750</v>
      </c>
      <c r="Q677">
        <f t="shared" si="153"/>
        <v>200</v>
      </c>
      <c r="R677" s="4">
        <f t="shared" si="154"/>
        <v>800000</v>
      </c>
      <c r="S677" s="3">
        <f t="shared" si="155"/>
        <v>200</v>
      </c>
      <c r="T677" t="str">
        <f t="shared" si="156"/>
        <v>C3500</v>
      </c>
      <c r="V677">
        <v>675</v>
      </c>
      <c r="W677">
        <f t="shared" si="147"/>
        <v>450</v>
      </c>
      <c r="X677">
        <f t="shared" si="150"/>
        <v>6750</v>
      </c>
      <c r="Y677">
        <f t="shared" si="148"/>
        <v>60</v>
      </c>
      <c r="Z677" s="4">
        <f t="shared" si="157"/>
        <v>2666666.6666666665</v>
      </c>
      <c r="AA677" s="3">
        <f t="shared" si="157"/>
        <v>60</v>
      </c>
      <c r="AB677" t="str">
        <f t="shared" si="158"/>
        <v>28B0AA</v>
      </c>
    </row>
    <row r="678" spans="14:28">
      <c r="N678">
        <v>676</v>
      </c>
      <c r="O678">
        <f t="shared" si="151"/>
        <v>760</v>
      </c>
      <c r="P678">
        <f t="shared" si="152"/>
        <v>6760</v>
      </c>
      <c r="Q678">
        <f t="shared" si="153"/>
        <v>200</v>
      </c>
      <c r="R678" s="4">
        <f t="shared" si="154"/>
        <v>800000</v>
      </c>
      <c r="S678" s="3">
        <f t="shared" si="155"/>
        <v>200</v>
      </c>
      <c r="T678" t="str">
        <f t="shared" si="156"/>
        <v>C3500</v>
      </c>
      <c r="V678">
        <v>676</v>
      </c>
      <c r="W678">
        <f t="shared" si="147"/>
        <v>460</v>
      </c>
      <c r="X678">
        <f t="shared" si="150"/>
        <v>6760</v>
      </c>
      <c r="Y678">
        <f t="shared" si="148"/>
        <v>60</v>
      </c>
      <c r="Z678" s="4">
        <f t="shared" si="157"/>
        <v>2666666.6666666665</v>
      </c>
      <c r="AA678" s="3">
        <f t="shared" si="157"/>
        <v>60</v>
      </c>
      <c r="AB678" t="str">
        <f t="shared" si="158"/>
        <v>28B0AA</v>
      </c>
    </row>
    <row r="679" spans="14:28">
      <c r="N679">
        <v>677</v>
      </c>
      <c r="O679">
        <f t="shared" si="151"/>
        <v>770</v>
      </c>
      <c r="P679">
        <f t="shared" si="152"/>
        <v>6770</v>
      </c>
      <c r="Q679">
        <f t="shared" si="153"/>
        <v>200</v>
      </c>
      <c r="R679" s="4">
        <f t="shared" si="154"/>
        <v>800000</v>
      </c>
      <c r="S679" s="3">
        <f t="shared" si="155"/>
        <v>200</v>
      </c>
      <c r="T679" t="str">
        <f t="shared" si="156"/>
        <v>C3500</v>
      </c>
      <c r="V679">
        <v>677</v>
      </c>
      <c r="W679">
        <f t="shared" si="147"/>
        <v>470</v>
      </c>
      <c r="X679">
        <f t="shared" si="150"/>
        <v>6770</v>
      </c>
      <c r="Y679">
        <f t="shared" si="148"/>
        <v>60</v>
      </c>
      <c r="Z679" s="4">
        <f t="shared" ref="Z679:AA698" si="159">IFERROR(160*1000*1000/Y679,0)</f>
        <v>2666666.6666666665</v>
      </c>
      <c r="AA679" s="3">
        <f t="shared" si="159"/>
        <v>60</v>
      </c>
      <c r="AB679" t="str">
        <f t="shared" si="158"/>
        <v>28B0AA</v>
      </c>
    </row>
    <row r="680" spans="14:28">
      <c r="N680">
        <v>678</v>
      </c>
      <c r="O680">
        <f t="shared" si="151"/>
        <v>780</v>
      </c>
      <c r="P680">
        <f t="shared" si="152"/>
        <v>6780</v>
      </c>
      <c r="Q680">
        <f t="shared" si="153"/>
        <v>200</v>
      </c>
      <c r="R680" s="4">
        <f t="shared" si="154"/>
        <v>800000</v>
      </c>
      <c r="S680" s="3">
        <f t="shared" si="155"/>
        <v>200</v>
      </c>
      <c r="T680" t="str">
        <f t="shared" si="156"/>
        <v>C3500</v>
      </c>
      <c r="V680">
        <v>678</v>
      </c>
      <c r="W680">
        <f t="shared" si="147"/>
        <v>480</v>
      </c>
      <c r="X680">
        <f t="shared" si="150"/>
        <v>6780</v>
      </c>
      <c r="Y680">
        <f t="shared" si="148"/>
        <v>60</v>
      </c>
      <c r="Z680" s="4">
        <f t="shared" si="159"/>
        <v>2666666.6666666665</v>
      </c>
      <c r="AA680" s="3">
        <f t="shared" si="159"/>
        <v>60</v>
      </c>
      <c r="AB680" t="str">
        <f t="shared" si="158"/>
        <v>28B0AA</v>
      </c>
    </row>
    <row r="681" spans="14:28">
      <c r="N681">
        <v>679</v>
      </c>
      <c r="O681">
        <f t="shared" si="151"/>
        <v>790</v>
      </c>
      <c r="P681">
        <f t="shared" si="152"/>
        <v>6790</v>
      </c>
      <c r="Q681">
        <f t="shared" si="153"/>
        <v>200</v>
      </c>
      <c r="R681" s="4">
        <f t="shared" si="154"/>
        <v>800000</v>
      </c>
      <c r="S681" s="3">
        <f t="shared" si="155"/>
        <v>200</v>
      </c>
      <c r="T681" t="str">
        <f t="shared" si="156"/>
        <v>C3500</v>
      </c>
      <c r="V681">
        <v>679</v>
      </c>
      <c r="W681">
        <f t="shared" si="147"/>
        <v>490</v>
      </c>
      <c r="X681">
        <f t="shared" si="150"/>
        <v>6790</v>
      </c>
      <c r="Y681">
        <f t="shared" si="148"/>
        <v>60</v>
      </c>
      <c r="Z681" s="4">
        <f t="shared" si="159"/>
        <v>2666666.6666666665</v>
      </c>
      <c r="AA681" s="3">
        <f t="shared" si="159"/>
        <v>60</v>
      </c>
      <c r="AB681" t="str">
        <f t="shared" si="158"/>
        <v>28B0AA</v>
      </c>
    </row>
    <row r="682" spans="14:28">
      <c r="N682">
        <v>680</v>
      </c>
      <c r="O682">
        <f t="shared" si="151"/>
        <v>800</v>
      </c>
      <c r="P682">
        <f t="shared" si="152"/>
        <v>6800</v>
      </c>
      <c r="Q682">
        <f t="shared" si="153"/>
        <v>200</v>
      </c>
      <c r="R682" s="4">
        <f t="shared" si="154"/>
        <v>800000</v>
      </c>
      <c r="S682" s="3">
        <f t="shared" si="155"/>
        <v>200</v>
      </c>
      <c r="T682" t="str">
        <f t="shared" si="156"/>
        <v>C3500</v>
      </c>
      <c r="V682">
        <v>680</v>
      </c>
      <c r="W682">
        <f t="shared" si="147"/>
        <v>500</v>
      </c>
      <c r="X682">
        <f t="shared" si="150"/>
        <v>6800</v>
      </c>
      <c r="Y682">
        <f t="shared" si="148"/>
        <v>60</v>
      </c>
      <c r="Z682" s="4">
        <f t="shared" si="159"/>
        <v>2666666.6666666665</v>
      </c>
      <c r="AA682" s="3">
        <f t="shared" si="159"/>
        <v>60</v>
      </c>
      <c r="AB682" t="str">
        <f t="shared" si="158"/>
        <v>28B0AA</v>
      </c>
    </row>
    <row r="683" spans="14:28">
      <c r="N683">
        <v>681</v>
      </c>
      <c r="O683">
        <f t="shared" si="151"/>
        <v>810</v>
      </c>
      <c r="P683">
        <f t="shared" si="152"/>
        <v>6810</v>
      </c>
      <c r="Q683">
        <f t="shared" si="153"/>
        <v>200</v>
      </c>
      <c r="R683" s="4">
        <f t="shared" si="154"/>
        <v>800000</v>
      </c>
      <c r="S683" s="3">
        <f t="shared" si="155"/>
        <v>200</v>
      </c>
      <c r="T683" t="str">
        <f t="shared" si="156"/>
        <v>C3500</v>
      </c>
      <c r="V683">
        <v>681</v>
      </c>
      <c r="W683">
        <f t="shared" si="147"/>
        <v>510</v>
      </c>
      <c r="X683">
        <f t="shared" si="150"/>
        <v>6810</v>
      </c>
      <c r="Y683">
        <f t="shared" si="148"/>
        <v>60</v>
      </c>
      <c r="Z683" s="4">
        <f t="shared" si="159"/>
        <v>2666666.6666666665</v>
      </c>
      <c r="AA683" s="3">
        <f t="shared" si="159"/>
        <v>60</v>
      </c>
      <c r="AB683" t="str">
        <f t="shared" si="158"/>
        <v>28B0AA</v>
      </c>
    </row>
    <row r="684" spans="14:28">
      <c r="N684">
        <v>682</v>
      </c>
      <c r="O684">
        <f t="shared" si="151"/>
        <v>820</v>
      </c>
      <c r="P684">
        <f t="shared" si="152"/>
        <v>6820</v>
      </c>
      <c r="Q684">
        <f t="shared" si="153"/>
        <v>200</v>
      </c>
      <c r="R684" s="4">
        <f t="shared" si="154"/>
        <v>800000</v>
      </c>
      <c r="S684" s="3">
        <f t="shared" si="155"/>
        <v>200</v>
      </c>
      <c r="T684" t="str">
        <f t="shared" si="156"/>
        <v>C3500</v>
      </c>
      <c r="V684">
        <v>682</v>
      </c>
      <c r="W684">
        <f t="shared" si="147"/>
        <v>520</v>
      </c>
      <c r="X684">
        <f t="shared" si="150"/>
        <v>6820</v>
      </c>
      <c r="Y684">
        <f t="shared" si="148"/>
        <v>60</v>
      </c>
      <c r="Z684" s="4">
        <f t="shared" si="159"/>
        <v>2666666.6666666665</v>
      </c>
      <c r="AA684" s="3">
        <f t="shared" si="159"/>
        <v>60</v>
      </c>
      <c r="AB684" t="str">
        <f t="shared" si="158"/>
        <v>28B0AA</v>
      </c>
    </row>
    <row r="685" spans="14:28">
      <c r="N685">
        <v>683</v>
      </c>
      <c r="O685">
        <f t="shared" si="151"/>
        <v>830</v>
      </c>
      <c r="P685">
        <f t="shared" si="152"/>
        <v>6830</v>
      </c>
      <c r="Q685">
        <f t="shared" si="153"/>
        <v>200</v>
      </c>
      <c r="R685" s="4">
        <f t="shared" si="154"/>
        <v>800000</v>
      </c>
      <c r="S685" s="3">
        <f t="shared" si="155"/>
        <v>200</v>
      </c>
      <c r="T685" t="str">
        <f t="shared" si="156"/>
        <v>C3500</v>
      </c>
      <c r="V685">
        <v>683</v>
      </c>
      <c r="W685">
        <f t="shared" si="147"/>
        <v>530</v>
      </c>
      <c r="X685">
        <f t="shared" si="150"/>
        <v>6830</v>
      </c>
      <c r="Y685">
        <f t="shared" si="148"/>
        <v>60</v>
      </c>
      <c r="Z685" s="4">
        <f t="shared" si="159"/>
        <v>2666666.6666666665</v>
      </c>
      <c r="AA685" s="3">
        <f t="shared" si="159"/>
        <v>60</v>
      </c>
      <c r="AB685" t="str">
        <f t="shared" si="158"/>
        <v>28B0AA</v>
      </c>
    </row>
    <row r="686" spans="14:28">
      <c r="N686">
        <v>684</v>
      </c>
      <c r="O686">
        <f t="shared" si="151"/>
        <v>840</v>
      </c>
      <c r="P686">
        <f t="shared" si="152"/>
        <v>6840</v>
      </c>
      <c r="Q686">
        <f t="shared" si="153"/>
        <v>200</v>
      </c>
      <c r="R686" s="4">
        <f t="shared" si="154"/>
        <v>800000</v>
      </c>
      <c r="S686" s="3">
        <f t="shared" si="155"/>
        <v>200</v>
      </c>
      <c r="T686" t="str">
        <f t="shared" si="156"/>
        <v>C3500</v>
      </c>
      <c r="V686">
        <v>684</v>
      </c>
      <c r="W686">
        <f t="shared" si="147"/>
        <v>540</v>
      </c>
      <c r="X686">
        <f t="shared" si="150"/>
        <v>6840</v>
      </c>
      <c r="Y686">
        <f t="shared" si="148"/>
        <v>60</v>
      </c>
      <c r="Z686" s="4">
        <f t="shared" si="159"/>
        <v>2666666.6666666665</v>
      </c>
      <c r="AA686" s="3">
        <f t="shared" si="159"/>
        <v>60</v>
      </c>
      <c r="AB686" t="str">
        <f t="shared" si="158"/>
        <v>28B0AA</v>
      </c>
    </row>
    <row r="687" spans="14:28">
      <c r="N687">
        <v>685</v>
      </c>
      <c r="O687">
        <f t="shared" si="151"/>
        <v>850</v>
      </c>
      <c r="P687">
        <f t="shared" si="152"/>
        <v>6850</v>
      </c>
      <c r="Q687">
        <f t="shared" si="153"/>
        <v>200</v>
      </c>
      <c r="R687" s="4">
        <f t="shared" si="154"/>
        <v>800000</v>
      </c>
      <c r="S687" s="3">
        <f t="shared" si="155"/>
        <v>200</v>
      </c>
      <c r="T687" t="str">
        <f t="shared" si="156"/>
        <v>C3500</v>
      </c>
      <c r="V687">
        <v>685</v>
      </c>
      <c r="W687">
        <f t="shared" si="147"/>
        <v>550</v>
      </c>
      <c r="X687">
        <f t="shared" si="150"/>
        <v>6850</v>
      </c>
      <c r="Y687">
        <f t="shared" si="148"/>
        <v>60</v>
      </c>
      <c r="Z687" s="4">
        <f t="shared" si="159"/>
        <v>2666666.6666666665</v>
      </c>
      <c r="AA687" s="3">
        <f t="shared" si="159"/>
        <v>60</v>
      </c>
      <c r="AB687" t="str">
        <f t="shared" si="158"/>
        <v>28B0AA</v>
      </c>
    </row>
    <row r="688" spans="14:28">
      <c r="N688">
        <v>686</v>
      </c>
      <c r="O688">
        <f t="shared" si="151"/>
        <v>860</v>
      </c>
      <c r="P688">
        <f t="shared" si="152"/>
        <v>6860</v>
      </c>
      <c r="Q688">
        <f t="shared" si="153"/>
        <v>200</v>
      </c>
      <c r="R688" s="4">
        <f t="shared" si="154"/>
        <v>800000</v>
      </c>
      <c r="S688" s="3">
        <f t="shared" si="155"/>
        <v>200</v>
      </c>
      <c r="T688" t="str">
        <f t="shared" si="156"/>
        <v>C3500</v>
      </c>
      <c r="V688">
        <v>686</v>
      </c>
      <c r="W688">
        <f t="shared" si="147"/>
        <v>560</v>
      </c>
      <c r="X688">
        <f t="shared" si="150"/>
        <v>6860</v>
      </c>
      <c r="Y688">
        <f t="shared" si="148"/>
        <v>60</v>
      </c>
      <c r="Z688" s="4">
        <f t="shared" si="159"/>
        <v>2666666.6666666665</v>
      </c>
      <c r="AA688" s="3">
        <f t="shared" si="159"/>
        <v>60</v>
      </c>
      <c r="AB688" t="str">
        <f t="shared" si="158"/>
        <v>28B0AA</v>
      </c>
    </row>
    <row r="689" spans="14:28">
      <c r="N689">
        <v>687</v>
      </c>
      <c r="O689">
        <f t="shared" si="151"/>
        <v>870</v>
      </c>
      <c r="P689">
        <f t="shared" si="152"/>
        <v>6870</v>
      </c>
      <c r="Q689">
        <f t="shared" si="153"/>
        <v>200</v>
      </c>
      <c r="R689" s="4">
        <f t="shared" si="154"/>
        <v>800000</v>
      </c>
      <c r="S689" s="3">
        <f t="shared" si="155"/>
        <v>200</v>
      </c>
      <c r="T689" t="str">
        <f t="shared" si="156"/>
        <v>C3500</v>
      </c>
      <c r="V689">
        <v>687</v>
      </c>
      <c r="W689">
        <f t="shared" si="147"/>
        <v>570</v>
      </c>
      <c r="X689">
        <f t="shared" si="150"/>
        <v>6870</v>
      </c>
      <c r="Y689">
        <f t="shared" si="148"/>
        <v>60</v>
      </c>
      <c r="Z689" s="4">
        <f t="shared" si="159"/>
        <v>2666666.6666666665</v>
      </c>
      <c r="AA689" s="3">
        <f t="shared" si="159"/>
        <v>60</v>
      </c>
      <c r="AB689" t="str">
        <f t="shared" si="158"/>
        <v>28B0AA</v>
      </c>
    </row>
    <row r="690" spans="14:28">
      <c r="N690">
        <v>688</v>
      </c>
      <c r="O690">
        <f t="shared" si="151"/>
        <v>880</v>
      </c>
      <c r="P690">
        <f t="shared" si="152"/>
        <v>6880</v>
      </c>
      <c r="Q690">
        <f t="shared" si="153"/>
        <v>200</v>
      </c>
      <c r="R690" s="4">
        <f t="shared" si="154"/>
        <v>800000</v>
      </c>
      <c r="S690" s="3">
        <f t="shared" si="155"/>
        <v>200</v>
      </c>
      <c r="T690" t="str">
        <f t="shared" si="156"/>
        <v>C3500</v>
      </c>
      <c r="V690">
        <v>688</v>
      </c>
      <c r="W690">
        <f t="shared" si="147"/>
        <v>580</v>
      </c>
      <c r="X690">
        <f t="shared" si="150"/>
        <v>6880</v>
      </c>
      <c r="Y690">
        <f t="shared" si="148"/>
        <v>60</v>
      </c>
      <c r="Z690" s="4">
        <f t="shared" si="159"/>
        <v>2666666.6666666665</v>
      </c>
      <c r="AA690" s="3">
        <f t="shared" si="159"/>
        <v>60</v>
      </c>
      <c r="AB690" t="str">
        <f t="shared" si="158"/>
        <v>28B0AA</v>
      </c>
    </row>
    <row r="691" spans="14:28">
      <c r="N691">
        <v>689</v>
      </c>
      <c r="O691">
        <f t="shared" si="151"/>
        <v>890</v>
      </c>
      <c r="P691">
        <f t="shared" si="152"/>
        <v>6890</v>
      </c>
      <c r="Q691">
        <f t="shared" si="153"/>
        <v>200</v>
      </c>
      <c r="R691" s="4">
        <f t="shared" si="154"/>
        <v>800000</v>
      </c>
      <c r="S691" s="3">
        <f t="shared" si="155"/>
        <v>200</v>
      </c>
      <c r="T691" t="str">
        <f t="shared" si="156"/>
        <v>C3500</v>
      </c>
      <c r="V691">
        <v>689</v>
      </c>
      <c r="W691">
        <f t="shared" si="147"/>
        <v>590</v>
      </c>
      <c r="X691">
        <f t="shared" si="150"/>
        <v>6890</v>
      </c>
      <c r="Y691">
        <f t="shared" si="148"/>
        <v>60</v>
      </c>
      <c r="Z691" s="4">
        <f t="shared" si="159"/>
        <v>2666666.6666666665</v>
      </c>
      <c r="AA691" s="3">
        <f t="shared" si="159"/>
        <v>60</v>
      </c>
      <c r="AB691" t="str">
        <f t="shared" si="158"/>
        <v>28B0AA</v>
      </c>
    </row>
    <row r="692" spans="14:28">
      <c r="N692">
        <v>690</v>
      </c>
      <c r="O692">
        <f t="shared" si="151"/>
        <v>900</v>
      </c>
      <c r="P692">
        <f t="shared" si="152"/>
        <v>6900</v>
      </c>
      <c r="Q692">
        <f t="shared" si="153"/>
        <v>200</v>
      </c>
      <c r="R692" s="4">
        <f t="shared" si="154"/>
        <v>800000</v>
      </c>
      <c r="S692" s="3">
        <f t="shared" si="155"/>
        <v>200</v>
      </c>
      <c r="T692" t="str">
        <f t="shared" si="156"/>
        <v>C3500</v>
      </c>
      <c r="V692">
        <v>690</v>
      </c>
      <c r="W692">
        <f t="shared" si="147"/>
        <v>600</v>
      </c>
      <c r="X692">
        <f t="shared" si="150"/>
        <v>6900</v>
      </c>
      <c r="Y692">
        <f t="shared" si="148"/>
        <v>60</v>
      </c>
      <c r="Z692" s="4">
        <f t="shared" si="159"/>
        <v>2666666.6666666665</v>
      </c>
      <c r="AA692" s="3">
        <f t="shared" si="159"/>
        <v>60</v>
      </c>
      <c r="AB692" t="str">
        <f t="shared" si="158"/>
        <v>28B0AA</v>
      </c>
    </row>
    <row r="693" spans="14:28">
      <c r="N693">
        <v>691</v>
      </c>
      <c r="O693">
        <f t="shared" si="151"/>
        <v>910</v>
      </c>
      <c r="P693">
        <f t="shared" si="152"/>
        <v>6910</v>
      </c>
      <c r="Q693">
        <f t="shared" si="153"/>
        <v>200</v>
      </c>
      <c r="R693" s="4">
        <f t="shared" si="154"/>
        <v>800000</v>
      </c>
      <c r="S693" s="3">
        <f t="shared" si="155"/>
        <v>200</v>
      </c>
      <c r="T693" t="str">
        <f t="shared" si="156"/>
        <v>C3500</v>
      </c>
      <c r="V693">
        <v>691</v>
      </c>
      <c r="W693">
        <f t="shared" si="147"/>
        <v>610</v>
      </c>
      <c r="X693">
        <f t="shared" si="150"/>
        <v>6910</v>
      </c>
      <c r="Y693">
        <f t="shared" si="148"/>
        <v>60</v>
      </c>
      <c r="Z693" s="4">
        <f t="shared" si="159"/>
        <v>2666666.6666666665</v>
      </c>
      <c r="AA693" s="3">
        <f t="shared" si="159"/>
        <v>60</v>
      </c>
      <c r="AB693" t="str">
        <f t="shared" si="158"/>
        <v>28B0AA</v>
      </c>
    </row>
    <row r="694" spans="14:28">
      <c r="N694">
        <v>692</v>
      </c>
      <c r="O694">
        <f t="shared" si="151"/>
        <v>920</v>
      </c>
      <c r="P694">
        <f t="shared" si="152"/>
        <v>6920</v>
      </c>
      <c r="Q694">
        <f t="shared" si="153"/>
        <v>200</v>
      </c>
      <c r="R694" s="4">
        <f t="shared" si="154"/>
        <v>800000</v>
      </c>
      <c r="S694" s="3">
        <f t="shared" si="155"/>
        <v>200</v>
      </c>
      <c r="T694" t="str">
        <f t="shared" si="156"/>
        <v>C3500</v>
      </c>
      <c r="V694">
        <v>692</v>
      </c>
      <c r="W694">
        <f t="shared" si="147"/>
        <v>620</v>
      </c>
      <c r="X694">
        <f t="shared" si="150"/>
        <v>6920</v>
      </c>
      <c r="Y694">
        <f t="shared" si="148"/>
        <v>60</v>
      </c>
      <c r="Z694" s="4">
        <f t="shared" si="159"/>
        <v>2666666.6666666665</v>
      </c>
      <c r="AA694" s="3">
        <f t="shared" si="159"/>
        <v>60</v>
      </c>
      <c r="AB694" t="str">
        <f t="shared" si="158"/>
        <v>28B0AA</v>
      </c>
    </row>
    <row r="695" spans="14:28">
      <c r="N695">
        <v>693</v>
      </c>
      <c r="O695">
        <f t="shared" si="151"/>
        <v>930</v>
      </c>
      <c r="P695">
        <f t="shared" si="152"/>
        <v>6930</v>
      </c>
      <c r="Q695">
        <f t="shared" si="153"/>
        <v>200</v>
      </c>
      <c r="R695" s="4">
        <f t="shared" si="154"/>
        <v>800000</v>
      </c>
      <c r="S695" s="3">
        <f t="shared" si="155"/>
        <v>200</v>
      </c>
      <c r="T695" t="str">
        <f t="shared" si="156"/>
        <v>C3500</v>
      </c>
      <c r="V695">
        <v>693</v>
      </c>
      <c r="W695">
        <f t="shared" si="147"/>
        <v>630</v>
      </c>
      <c r="X695">
        <f t="shared" si="150"/>
        <v>6930</v>
      </c>
      <c r="Y695">
        <f t="shared" si="148"/>
        <v>60</v>
      </c>
      <c r="Z695" s="4">
        <f t="shared" si="159"/>
        <v>2666666.6666666665</v>
      </c>
      <c r="AA695" s="3">
        <f t="shared" si="159"/>
        <v>60</v>
      </c>
      <c r="AB695" t="str">
        <f t="shared" si="158"/>
        <v>28B0AA</v>
      </c>
    </row>
    <row r="696" spans="14:28">
      <c r="N696">
        <v>694</v>
      </c>
      <c r="O696">
        <f t="shared" si="151"/>
        <v>940</v>
      </c>
      <c r="P696">
        <f t="shared" si="152"/>
        <v>6940</v>
      </c>
      <c r="Q696">
        <f t="shared" si="153"/>
        <v>200</v>
      </c>
      <c r="R696" s="4">
        <f t="shared" si="154"/>
        <v>800000</v>
      </c>
      <c r="S696" s="3">
        <f t="shared" si="155"/>
        <v>200</v>
      </c>
      <c r="T696" t="str">
        <f t="shared" si="156"/>
        <v>C3500</v>
      </c>
      <c r="V696">
        <v>694</v>
      </c>
      <c r="W696">
        <f t="shared" si="147"/>
        <v>640</v>
      </c>
      <c r="X696">
        <f t="shared" si="150"/>
        <v>6940</v>
      </c>
      <c r="Y696">
        <f t="shared" si="148"/>
        <v>60</v>
      </c>
      <c r="Z696" s="4">
        <f t="shared" si="159"/>
        <v>2666666.6666666665</v>
      </c>
      <c r="AA696" s="3">
        <f t="shared" si="159"/>
        <v>60</v>
      </c>
      <c r="AB696" t="str">
        <f t="shared" si="158"/>
        <v>28B0AA</v>
      </c>
    </row>
    <row r="697" spans="14:28">
      <c r="N697">
        <v>695</v>
      </c>
      <c r="O697">
        <f t="shared" si="151"/>
        <v>950</v>
      </c>
      <c r="P697">
        <f t="shared" si="152"/>
        <v>6950</v>
      </c>
      <c r="Q697">
        <f t="shared" si="153"/>
        <v>200</v>
      </c>
      <c r="R697" s="4">
        <f t="shared" si="154"/>
        <v>800000</v>
      </c>
      <c r="S697" s="3">
        <f t="shared" si="155"/>
        <v>200</v>
      </c>
      <c r="T697" t="str">
        <f t="shared" si="156"/>
        <v>C3500</v>
      </c>
      <c r="V697">
        <v>695</v>
      </c>
      <c r="W697">
        <f t="shared" si="147"/>
        <v>650</v>
      </c>
      <c r="X697">
        <f t="shared" si="150"/>
        <v>6950</v>
      </c>
      <c r="Y697">
        <f t="shared" si="148"/>
        <v>60</v>
      </c>
      <c r="Z697" s="4">
        <f t="shared" si="159"/>
        <v>2666666.6666666665</v>
      </c>
      <c r="AA697" s="3">
        <f t="shared" si="159"/>
        <v>60</v>
      </c>
      <c r="AB697" t="str">
        <f t="shared" si="158"/>
        <v>28B0AA</v>
      </c>
    </row>
    <row r="698" spans="14:28">
      <c r="N698">
        <v>696</v>
      </c>
      <c r="O698">
        <f t="shared" si="151"/>
        <v>960</v>
      </c>
      <c r="P698">
        <f t="shared" si="152"/>
        <v>6960</v>
      </c>
      <c r="Q698">
        <f t="shared" si="153"/>
        <v>200</v>
      </c>
      <c r="R698" s="4">
        <f t="shared" si="154"/>
        <v>800000</v>
      </c>
      <c r="S698" s="3">
        <f t="shared" si="155"/>
        <v>200</v>
      </c>
      <c r="T698" t="str">
        <f t="shared" si="156"/>
        <v>C3500</v>
      </c>
      <c r="V698">
        <v>696</v>
      </c>
      <c r="W698">
        <f t="shared" si="147"/>
        <v>660</v>
      </c>
      <c r="X698">
        <f t="shared" si="150"/>
        <v>6960</v>
      </c>
      <c r="Y698">
        <f t="shared" si="148"/>
        <v>60</v>
      </c>
      <c r="Z698" s="4">
        <f t="shared" si="159"/>
        <v>2666666.6666666665</v>
      </c>
      <c r="AA698" s="3">
        <f t="shared" si="159"/>
        <v>60</v>
      </c>
      <c r="AB698" t="str">
        <f t="shared" si="158"/>
        <v>28B0AA</v>
      </c>
    </row>
    <row r="699" spans="14:28">
      <c r="N699">
        <v>697</v>
      </c>
      <c r="O699">
        <f t="shared" si="151"/>
        <v>970</v>
      </c>
      <c r="P699">
        <f t="shared" si="152"/>
        <v>6970</v>
      </c>
      <c r="Q699">
        <f t="shared" si="153"/>
        <v>200</v>
      </c>
      <c r="R699" s="4">
        <f t="shared" si="154"/>
        <v>800000</v>
      </c>
      <c r="S699" s="3">
        <f t="shared" si="155"/>
        <v>200</v>
      </c>
      <c r="T699" t="str">
        <f t="shared" si="156"/>
        <v>C3500</v>
      </c>
      <c r="V699">
        <v>697</v>
      </c>
      <c r="W699">
        <f t="shared" si="147"/>
        <v>670</v>
      </c>
      <c r="X699">
        <f t="shared" si="150"/>
        <v>6970</v>
      </c>
      <c r="Y699">
        <f t="shared" si="148"/>
        <v>60</v>
      </c>
      <c r="Z699" s="4">
        <f t="shared" ref="Z699:AA718" si="160">IFERROR(160*1000*1000/Y699,0)</f>
        <v>2666666.6666666665</v>
      </c>
      <c r="AA699" s="3">
        <f t="shared" si="160"/>
        <v>60</v>
      </c>
      <c r="AB699" t="str">
        <f t="shared" si="158"/>
        <v>28B0AA</v>
      </c>
    </row>
    <row r="700" spans="14:28">
      <c r="N700">
        <v>698</v>
      </c>
      <c r="O700">
        <f t="shared" si="151"/>
        <v>980</v>
      </c>
      <c r="P700">
        <f t="shared" si="152"/>
        <v>6980</v>
      </c>
      <c r="Q700">
        <f t="shared" si="153"/>
        <v>200</v>
      </c>
      <c r="R700" s="4">
        <f t="shared" si="154"/>
        <v>800000</v>
      </c>
      <c r="S700" s="3">
        <f t="shared" si="155"/>
        <v>200</v>
      </c>
      <c r="T700" t="str">
        <f t="shared" si="156"/>
        <v>C3500</v>
      </c>
      <c r="V700">
        <v>698</v>
      </c>
      <c r="W700">
        <f t="shared" si="147"/>
        <v>680</v>
      </c>
      <c r="X700">
        <f t="shared" si="150"/>
        <v>6980</v>
      </c>
      <c r="Y700">
        <f t="shared" si="148"/>
        <v>60</v>
      </c>
      <c r="Z700" s="4">
        <f t="shared" si="160"/>
        <v>2666666.6666666665</v>
      </c>
      <c r="AA700" s="3">
        <f t="shared" si="160"/>
        <v>60</v>
      </c>
      <c r="AB700" t="str">
        <f t="shared" si="158"/>
        <v>28B0AA</v>
      </c>
    </row>
    <row r="701" spans="14:28">
      <c r="N701">
        <v>699</v>
      </c>
      <c r="O701">
        <f t="shared" si="151"/>
        <v>990</v>
      </c>
      <c r="P701">
        <f t="shared" si="152"/>
        <v>6990</v>
      </c>
      <c r="Q701">
        <f t="shared" si="153"/>
        <v>200</v>
      </c>
      <c r="R701" s="4">
        <f t="shared" si="154"/>
        <v>800000</v>
      </c>
      <c r="S701" s="3">
        <f t="shared" si="155"/>
        <v>200</v>
      </c>
      <c r="T701" t="str">
        <f t="shared" si="156"/>
        <v>C3500</v>
      </c>
      <c r="V701">
        <v>699</v>
      </c>
      <c r="W701">
        <f t="shared" si="147"/>
        <v>690</v>
      </c>
      <c r="X701">
        <f t="shared" si="150"/>
        <v>6990</v>
      </c>
      <c r="Y701">
        <f t="shared" si="148"/>
        <v>60</v>
      </c>
      <c r="Z701" s="4">
        <f t="shared" si="160"/>
        <v>2666666.6666666665</v>
      </c>
      <c r="AA701" s="3">
        <f t="shared" si="160"/>
        <v>60</v>
      </c>
      <c r="AB701" t="str">
        <f t="shared" si="158"/>
        <v>28B0AA</v>
      </c>
    </row>
    <row r="702" spans="14:28">
      <c r="N702">
        <v>700</v>
      </c>
      <c r="O702">
        <f t="shared" si="151"/>
        <v>1000</v>
      </c>
      <c r="P702">
        <f t="shared" si="152"/>
        <v>7000</v>
      </c>
      <c r="Q702">
        <f t="shared" si="153"/>
        <v>200</v>
      </c>
      <c r="R702" s="4">
        <f t="shared" si="154"/>
        <v>800000</v>
      </c>
      <c r="S702" s="3">
        <f t="shared" si="155"/>
        <v>200</v>
      </c>
      <c r="T702" t="str">
        <f t="shared" si="156"/>
        <v>C3500</v>
      </c>
      <c r="V702">
        <v>700</v>
      </c>
      <c r="W702">
        <f t="shared" si="147"/>
        <v>700</v>
      </c>
      <c r="X702">
        <f t="shared" si="150"/>
        <v>7000</v>
      </c>
      <c r="Y702">
        <f t="shared" si="148"/>
        <v>60</v>
      </c>
      <c r="Z702" s="4">
        <f t="shared" si="160"/>
        <v>2666666.6666666665</v>
      </c>
      <c r="AA702" s="3">
        <f t="shared" si="160"/>
        <v>60</v>
      </c>
      <c r="AB702" t="str">
        <f t="shared" si="158"/>
        <v>28B0AA</v>
      </c>
    </row>
    <row r="703" spans="14:28">
      <c r="N703">
        <v>701</v>
      </c>
      <c r="O703">
        <f t="shared" si="151"/>
        <v>1010</v>
      </c>
      <c r="P703">
        <f t="shared" si="152"/>
        <v>7010</v>
      </c>
      <c r="Q703">
        <f t="shared" si="153"/>
        <v>200</v>
      </c>
      <c r="R703" s="4">
        <f t="shared" si="154"/>
        <v>800000</v>
      </c>
      <c r="S703" s="3">
        <f t="shared" si="155"/>
        <v>200</v>
      </c>
      <c r="T703" t="str">
        <f t="shared" si="156"/>
        <v>C3500</v>
      </c>
      <c r="V703">
        <v>701</v>
      </c>
      <c r="W703">
        <f t="shared" ref="W703:W766" si="161">MOD(X703,$A$14+$A$15)</f>
        <v>710</v>
      </c>
      <c r="X703">
        <f t="shared" si="150"/>
        <v>7010</v>
      </c>
      <c r="Y703">
        <f t="shared" ref="Y703:Y766" si="162">IF(W703&gt;$A$14,0,IF(W703&lt;$A$13,W703/($A$13)*($A$11-$A$12)+$A$12,IF($A$14-W703&lt;$A$13,($A$14-W703)/($A$13)*($A$11-$A$12)+$A$12,$A$11)))</f>
        <v>60</v>
      </c>
      <c r="Z703" s="4">
        <f t="shared" si="160"/>
        <v>2666666.6666666665</v>
      </c>
      <c r="AA703" s="3">
        <f t="shared" si="160"/>
        <v>60</v>
      </c>
      <c r="AB703" t="str">
        <f t="shared" si="158"/>
        <v>28B0AA</v>
      </c>
    </row>
    <row r="704" spans="14:28">
      <c r="N704">
        <v>702</v>
      </c>
      <c r="O704">
        <f t="shared" si="151"/>
        <v>1020</v>
      </c>
      <c r="P704">
        <f t="shared" si="152"/>
        <v>7020</v>
      </c>
      <c r="Q704">
        <f t="shared" si="153"/>
        <v>200</v>
      </c>
      <c r="R704" s="4">
        <f t="shared" si="154"/>
        <v>800000</v>
      </c>
      <c r="S704" s="3">
        <f t="shared" si="155"/>
        <v>200</v>
      </c>
      <c r="T704" t="str">
        <f t="shared" si="156"/>
        <v>C3500</v>
      </c>
      <c r="V704">
        <v>702</v>
      </c>
      <c r="W704">
        <f t="shared" si="161"/>
        <v>720</v>
      </c>
      <c r="X704">
        <f t="shared" ref="X704:X767" si="163">V704*10</f>
        <v>7020</v>
      </c>
      <c r="Y704">
        <f t="shared" si="162"/>
        <v>60</v>
      </c>
      <c r="Z704" s="4">
        <f t="shared" si="160"/>
        <v>2666666.6666666665</v>
      </c>
      <c r="AA704" s="3">
        <f t="shared" si="160"/>
        <v>60</v>
      </c>
      <c r="AB704" t="str">
        <f t="shared" si="158"/>
        <v>28B0AA</v>
      </c>
    </row>
    <row r="705" spans="14:28">
      <c r="N705">
        <v>703</v>
      </c>
      <c r="O705">
        <f t="shared" si="151"/>
        <v>1030</v>
      </c>
      <c r="P705">
        <f t="shared" si="152"/>
        <v>7030</v>
      </c>
      <c r="Q705">
        <f t="shared" si="153"/>
        <v>200</v>
      </c>
      <c r="R705" s="4">
        <f t="shared" si="154"/>
        <v>800000</v>
      </c>
      <c r="S705" s="3">
        <f t="shared" si="155"/>
        <v>200</v>
      </c>
      <c r="T705" t="str">
        <f t="shared" si="156"/>
        <v>C3500</v>
      </c>
      <c r="V705">
        <v>703</v>
      </c>
      <c r="W705">
        <f t="shared" si="161"/>
        <v>730</v>
      </c>
      <c r="X705">
        <f t="shared" si="163"/>
        <v>7030</v>
      </c>
      <c r="Y705">
        <f t="shared" si="162"/>
        <v>60</v>
      </c>
      <c r="Z705" s="4">
        <f t="shared" si="160"/>
        <v>2666666.6666666665</v>
      </c>
      <c r="AA705" s="3">
        <f t="shared" si="160"/>
        <v>60</v>
      </c>
      <c r="AB705" t="str">
        <f t="shared" si="158"/>
        <v>28B0AA</v>
      </c>
    </row>
    <row r="706" spans="14:28">
      <c r="N706">
        <v>704</v>
      </c>
      <c r="O706">
        <f t="shared" si="151"/>
        <v>1040</v>
      </c>
      <c r="P706">
        <f t="shared" si="152"/>
        <v>7040</v>
      </c>
      <c r="Q706">
        <f t="shared" si="153"/>
        <v>200</v>
      </c>
      <c r="R706" s="4">
        <f t="shared" si="154"/>
        <v>800000</v>
      </c>
      <c r="S706" s="3">
        <f t="shared" si="155"/>
        <v>200</v>
      </c>
      <c r="T706" t="str">
        <f t="shared" si="156"/>
        <v>C3500</v>
      </c>
      <c r="V706">
        <v>704</v>
      </c>
      <c r="W706">
        <f t="shared" si="161"/>
        <v>740</v>
      </c>
      <c r="X706">
        <f t="shared" si="163"/>
        <v>7040</v>
      </c>
      <c r="Y706">
        <f t="shared" si="162"/>
        <v>60</v>
      </c>
      <c r="Z706" s="4">
        <f t="shared" si="160"/>
        <v>2666666.6666666665</v>
      </c>
      <c r="AA706" s="3">
        <f t="shared" si="160"/>
        <v>60</v>
      </c>
      <c r="AB706" t="str">
        <f t="shared" si="158"/>
        <v>28B0AA</v>
      </c>
    </row>
    <row r="707" spans="14:28">
      <c r="N707">
        <v>705</v>
      </c>
      <c r="O707">
        <f t="shared" ref="O707:O770" si="164">MOD(P707,$A$5+$A$6)</f>
        <v>1050</v>
      </c>
      <c r="P707">
        <f t="shared" si="152"/>
        <v>7050</v>
      </c>
      <c r="Q707">
        <f t="shared" si="153"/>
        <v>200</v>
      </c>
      <c r="R707" s="4">
        <f t="shared" si="154"/>
        <v>800000</v>
      </c>
      <c r="S707" s="3">
        <f t="shared" si="155"/>
        <v>200</v>
      </c>
      <c r="T707" t="str">
        <f t="shared" si="156"/>
        <v>C3500</v>
      </c>
      <c r="V707">
        <v>705</v>
      </c>
      <c r="W707">
        <f t="shared" si="161"/>
        <v>750</v>
      </c>
      <c r="X707">
        <f t="shared" si="163"/>
        <v>7050</v>
      </c>
      <c r="Y707">
        <f t="shared" si="162"/>
        <v>60</v>
      </c>
      <c r="Z707" s="4">
        <f t="shared" si="160"/>
        <v>2666666.6666666665</v>
      </c>
      <c r="AA707" s="3">
        <f t="shared" si="160"/>
        <v>60</v>
      </c>
      <c r="AB707" t="str">
        <f t="shared" si="158"/>
        <v>28B0AA</v>
      </c>
    </row>
    <row r="708" spans="14:28">
      <c r="N708">
        <v>706</v>
      </c>
      <c r="O708">
        <f t="shared" si="164"/>
        <v>1060</v>
      </c>
      <c r="P708">
        <f t="shared" si="152"/>
        <v>7060</v>
      </c>
      <c r="Q708">
        <f t="shared" si="153"/>
        <v>200</v>
      </c>
      <c r="R708" s="4">
        <f t="shared" si="154"/>
        <v>800000</v>
      </c>
      <c r="S708" s="3">
        <f t="shared" si="155"/>
        <v>200</v>
      </c>
      <c r="T708" t="str">
        <f t="shared" si="156"/>
        <v>C3500</v>
      </c>
      <c r="V708">
        <v>706</v>
      </c>
      <c r="W708">
        <f t="shared" si="161"/>
        <v>760</v>
      </c>
      <c r="X708">
        <f t="shared" si="163"/>
        <v>7060</v>
      </c>
      <c r="Y708">
        <f t="shared" si="162"/>
        <v>60</v>
      </c>
      <c r="Z708" s="4">
        <f t="shared" si="160"/>
        <v>2666666.6666666665</v>
      </c>
      <c r="AA708" s="3">
        <f t="shared" si="160"/>
        <v>60</v>
      </c>
      <c r="AB708" t="str">
        <f t="shared" si="158"/>
        <v>28B0AA</v>
      </c>
    </row>
    <row r="709" spans="14:28">
      <c r="N709">
        <v>707</v>
      </c>
      <c r="O709">
        <f t="shared" si="164"/>
        <v>1070</v>
      </c>
      <c r="P709">
        <f t="shared" si="152"/>
        <v>7070</v>
      </c>
      <c r="Q709">
        <f t="shared" si="153"/>
        <v>200</v>
      </c>
      <c r="R709" s="4">
        <f t="shared" si="154"/>
        <v>800000</v>
      </c>
      <c r="S709" s="3">
        <f t="shared" si="155"/>
        <v>200</v>
      </c>
      <c r="T709" t="str">
        <f t="shared" si="156"/>
        <v>C3500</v>
      </c>
      <c r="V709">
        <v>707</v>
      </c>
      <c r="W709">
        <f t="shared" si="161"/>
        <v>770</v>
      </c>
      <c r="X709">
        <f t="shared" si="163"/>
        <v>7070</v>
      </c>
      <c r="Y709">
        <f t="shared" si="162"/>
        <v>60</v>
      </c>
      <c r="Z709" s="4">
        <f t="shared" si="160"/>
        <v>2666666.6666666665</v>
      </c>
      <c r="AA709" s="3">
        <f t="shared" si="160"/>
        <v>60</v>
      </c>
      <c r="AB709" t="str">
        <f t="shared" si="158"/>
        <v>28B0AA</v>
      </c>
    </row>
    <row r="710" spans="14:28">
      <c r="N710">
        <v>708</v>
      </c>
      <c r="O710">
        <f t="shared" si="164"/>
        <v>1080</v>
      </c>
      <c r="P710">
        <f t="shared" si="152"/>
        <v>7080</v>
      </c>
      <c r="Q710">
        <f t="shared" si="153"/>
        <v>200</v>
      </c>
      <c r="R710" s="4">
        <f t="shared" si="154"/>
        <v>800000</v>
      </c>
      <c r="S710" s="3">
        <f t="shared" si="155"/>
        <v>200</v>
      </c>
      <c r="T710" t="str">
        <f t="shared" si="156"/>
        <v>C3500</v>
      </c>
      <c r="V710">
        <v>708</v>
      </c>
      <c r="W710">
        <f t="shared" si="161"/>
        <v>780</v>
      </c>
      <c r="X710">
        <f t="shared" si="163"/>
        <v>7080</v>
      </c>
      <c r="Y710">
        <f t="shared" si="162"/>
        <v>60</v>
      </c>
      <c r="Z710" s="4">
        <f t="shared" si="160"/>
        <v>2666666.6666666665</v>
      </c>
      <c r="AA710" s="3">
        <f t="shared" si="160"/>
        <v>60</v>
      </c>
      <c r="AB710" t="str">
        <f t="shared" si="158"/>
        <v>28B0AA</v>
      </c>
    </row>
    <row r="711" spans="14:28">
      <c r="N711">
        <v>709</v>
      </c>
      <c r="O711">
        <f t="shared" si="164"/>
        <v>1090</v>
      </c>
      <c r="P711">
        <f t="shared" si="152"/>
        <v>7090</v>
      </c>
      <c r="Q711">
        <f t="shared" si="153"/>
        <v>200</v>
      </c>
      <c r="R711" s="4">
        <f t="shared" si="154"/>
        <v>800000</v>
      </c>
      <c r="S711" s="3">
        <f t="shared" si="155"/>
        <v>200</v>
      </c>
      <c r="T711" t="str">
        <f t="shared" si="156"/>
        <v>C3500</v>
      </c>
      <c r="V711">
        <v>709</v>
      </c>
      <c r="W711">
        <f t="shared" si="161"/>
        <v>790</v>
      </c>
      <c r="X711">
        <f t="shared" si="163"/>
        <v>7090</v>
      </c>
      <c r="Y711">
        <f t="shared" si="162"/>
        <v>60</v>
      </c>
      <c r="Z711" s="4">
        <f t="shared" si="160"/>
        <v>2666666.6666666665</v>
      </c>
      <c r="AA711" s="3">
        <f t="shared" si="160"/>
        <v>60</v>
      </c>
      <c r="AB711" t="str">
        <f t="shared" si="158"/>
        <v>28B0AA</v>
      </c>
    </row>
    <row r="712" spans="14:28">
      <c r="N712">
        <v>710</v>
      </c>
      <c r="O712">
        <f t="shared" si="164"/>
        <v>1100</v>
      </c>
      <c r="P712">
        <f t="shared" si="152"/>
        <v>7100</v>
      </c>
      <c r="Q712">
        <f t="shared" si="153"/>
        <v>200</v>
      </c>
      <c r="R712" s="4">
        <f t="shared" si="154"/>
        <v>800000</v>
      </c>
      <c r="S712" s="3">
        <f t="shared" si="155"/>
        <v>200</v>
      </c>
      <c r="T712" t="str">
        <f t="shared" si="156"/>
        <v>C3500</v>
      </c>
      <c r="V712">
        <v>710</v>
      </c>
      <c r="W712">
        <f t="shared" si="161"/>
        <v>800</v>
      </c>
      <c r="X712">
        <f t="shared" si="163"/>
        <v>7100</v>
      </c>
      <c r="Y712">
        <f t="shared" si="162"/>
        <v>60</v>
      </c>
      <c r="Z712" s="4">
        <f t="shared" si="160"/>
        <v>2666666.6666666665</v>
      </c>
      <c r="AA712" s="3">
        <f t="shared" si="160"/>
        <v>60</v>
      </c>
      <c r="AB712" t="str">
        <f t="shared" si="158"/>
        <v>28B0AA</v>
      </c>
    </row>
    <row r="713" spans="14:28">
      <c r="N713">
        <v>711</v>
      </c>
      <c r="O713">
        <f t="shared" si="164"/>
        <v>1110</v>
      </c>
      <c r="P713">
        <f t="shared" si="152"/>
        <v>7110</v>
      </c>
      <c r="Q713">
        <f t="shared" si="153"/>
        <v>200</v>
      </c>
      <c r="R713" s="4">
        <f t="shared" si="154"/>
        <v>800000</v>
      </c>
      <c r="S713" s="3">
        <f t="shared" si="155"/>
        <v>200</v>
      </c>
      <c r="T713" t="str">
        <f t="shared" si="156"/>
        <v>C3500</v>
      </c>
      <c r="V713">
        <v>711</v>
      </c>
      <c r="W713">
        <f t="shared" si="161"/>
        <v>810</v>
      </c>
      <c r="X713">
        <f t="shared" si="163"/>
        <v>7110</v>
      </c>
      <c r="Y713">
        <f t="shared" si="162"/>
        <v>60</v>
      </c>
      <c r="Z713" s="4">
        <f t="shared" si="160"/>
        <v>2666666.6666666665</v>
      </c>
      <c r="AA713" s="3">
        <f t="shared" si="160"/>
        <v>60</v>
      </c>
      <c r="AB713" t="str">
        <f t="shared" si="158"/>
        <v>28B0AA</v>
      </c>
    </row>
    <row r="714" spans="14:28">
      <c r="N714">
        <v>712</v>
      </c>
      <c r="O714">
        <f t="shared" si="164"/>
        <v>1120</v>
      </c>
      <c r="P714">
        <f t="shared" si="152"/>
        <v>7120</v>
      </c>
      <c r="Q714">
        <f t="shared" si="153"/>
        <v>200</v>
      </c>
      <c r="R714" s="4">
        <f t="shared" si="154"/>
        <v>800000</v>
      </c>
      <c r="S714" s="3">
        <f t="shared" si="155"/>
        <v>200</v>
      </c>
      <c r="T714" t="str">
        <f t="shared" si="156"/>
        <v>C3500</v>
      </c>
      <c r="V714">
        <v>712</v>
      </c>
      <c r="W714">
        <f t="shared" si="161"/>
        <v>820</v>
      </c>
      <c r="X714">
        <f t="shared" si="163"/>
        <v>7120</v>
      </c>
      <c r="Y714">
        <f t="shared" si="162"/>
        <v>60</v>
      </c>
      <c r="Z714" s="4">
        <f t="shared" si="160"/>
        <v>2666666.6666666665</v>
      </c>
      <c r="AA714" s="3">
        <f t="shared" si="160"/>
        <v>60</v>
      </c>
      <c r="AB714" t="str">
        <f t="shared" si="158"/>
        <v>28B0AA</v>
      </c>
    </row>
    <row r="715" spans="14:28">
      <c r="N715">
        <v>713</v>
      </c>
      <c r="O715">
        <f t="shared" si="164"/>
        <v>1130</v>
      </c>
      <c r="P715">
        <f t="shared" ref="P715:P778" si="165">N715*10</f>
        <v>7130</v>
      </c>
      <c r="Q715">
        <f t="shared" ref="Q715:Q778" si="166">IF(O715&gt;$A$5,0,IF(O715&lt;$A$4,O715/($A$4)*($A$2-$A$3)+$A$3,IF($A$5-O715&lt;$A$4,($A$5-O715)/($A$4)*($A$2-$A$3)+$A$3,$A$2)))</f>
        <v>200</v>
      </c>
      <c r="R715" s="4">
        <f t="shared" ref="R715:R778" si="167">IFERROR(160*1000*1000/Q715,0)</f>
        <v>800000</v>
      </c>
      <c r="S715" s="3">
        <f t="shared" ref="S715:S778" si="168">IFERROR(160*1000*1000/R715,0)</f>
        <v>200</v>
      </c>
      <c r="T715" t="str">
        <f t="shared" ref="T715:T778" si="169">DEC2HEX(R715)</f>
        <v>C3500</v>
      </c>
      <c r="V715">
        <v>713</v>
      </c>
      <c r="W715">
        <f t="shared" si="161"/>
        <v>830</v>
      </c>
      <c r="X715">
        <f t="shared" si="163"/>
        <v>7130</v>
      </c>
      <c r="Y715">
        <f t="shared" si="162"/>
        <v>60</v>
      </c>
      <c r="Z715" s="4">
        <f t="shared" si="160"/>
        <v>2666666.6666666665</v>
      </c>
      <c r="AA715" s="3">
        <f t="shared" si="160"/>
        <v>60</v>
      </c>
      <c r="AB715" t="str">
        <f t="shared" si="158"/>
        <v>28B0AA</v>
      </c>
    </row>
    <row r="716" spans="14:28">
      <c r="N716">
        <v>714</v>
      </c>
      <c r="O716">
        <f t="shared" si="164"/>
        <v>1140</v>
      </c>
      <c r="P716">
        <f t="shared" si="165"/>
        <v>7140</v>
      </c>
      <c r="Q716">
        <f t="shared" si="166"/>
        <v>200</v>
      </c>
      <c r="R716" s="4">
        <f t="shared" si="167"/>
        <v>800000</v>
      </c>
      <c r="S716" s="3">
        <f t="shared" si="168"/>
        <v>200</v>
      </c>
      <c r="T716" t="str">
        <f t="shared" si="169"/>
        <v>C3500</v>
      </c>
      <c r="V716">
        <v>714</v>
      </c>
      <c r="W716">
        <f t="shared" si="161"/>
        <v>840</v>
      </c>
      <c r="X716">
        <f t="shared" si="163"/>
        <v>7140</v>
      </c>
      <c r="Y716">
        <f t="shared" si="162"/>
        <v>60</v>
      </c>
      <c r="Z716" s="4">
        <f t="shared" si="160"/>
        <v>2666666.6666666665</v>
      </c>
      <c r="AA716" s="3">
        <f t="shared" si="160"/>
        <v>60</v>
      </c>
      <c r="AB716" t="str">
        <f t="shared" si="158"/>
        <v>28B0AA</v>
      </c>
    </row>
    <row r="717" spans="14:28">
      <c r="N717">
        <v>715</v>
      </c>
      <c r="O717">
        <f t="shared" si="164"/>
        <v>1150</v>
      </c>
      <c r="P717">
        <f t="shared" si="165"/>
        <v>7150</v>
      </c>
      <c r="Q717">
        <f t="shared" si="166"/>
        <v>200</v>
      </c>
      <c r="R717" s="4">
        <f t="shared" si="167"/>
        <v>800000</v>
      </c>
      <c r="S717" s="3">
        <f t="shared" si="168"/>
        <v>200</v>
      </c>
      <c r="T717" t="str">
        <f t="shared" si="169"/>
        <v>C3500</v>
      </c>
      <c r="V717">
        <v>715</v>
      </c>
      <c r="W717">
        <f t="shared" si="161"/>
        <v>850</v>
      </c>
      <c r="X717">
        <f t="shared" si="163"/>
        <v>7150</v>
      </c>
      <c r="Y717">
        <f t="shared" si="162"/>
        <v>60</v>
      </c>
      <c r="Z717" s="4">
        <f t="shared" si="160"/>
        <v>2666666.6666666665</v>
      </c>
      <c r="AA717" s="3">
        <f t="shared" si="160"/>
        <v>60</v>
      </c>
      <c r="AB717" t="str">
        <f t="shared" si="158"/>
        <v>28B0AA</v>
      </c>
    </row>
    <row r="718" spans="14:28">
      <c r="N718">
        <v>716</v>
      </c>
      <c r="O718">
        <f t="shared" si="164"/>
        <v>1160</v>
      </c>
      <c r="P718">
        <f t="shared" si="165"/>
        <v>7160</v>
      </c>
      <c r="Q718">
        <f t="shared" si="166"/>
        <v>200</v>
      </c>
      <c r="R718" s="4">
        <f t="shared" si="167"/>
        <v>800000</v>
      </c>
      <c r="S718" s="3">
        <f t="shared" si="168"/>
        <v>200</v>
      </c>
      <c r="T718" t="str">
        <f t="shared" si="169"/>
        <v>C3500</v>
      </c>
      <c r="V718">
        <v>716</v>
      </c>
      <c r="W718">
        <f t="shared" si="161"/>
        <v>860</v>
      </c>
      <c r="X718">
        <f t="shared" si="163"/>
        <v>7160</v>
      </c>
      <c r="Y718">
        <f t="shared" si="162"/>
        <v>60</v>
      </c>
      <c r="Z718" s="4">
        <f t="shared" si="160"/>
        <v>2666666.6666666665</v>
      </c>
      <c r="AA718" s="3">
        <f t="shared" si="160"/>
        <v>60</v>
      </c>
      <c r="AB718" t="str">
        <f t="shared" si="158"/>
        <v>28B0AA</v>
      </c>
    </row>
    <row r="719" spans="14:28">
      <c r="N719">
        <v>717</v>
      </c>
      <c r="O719">
        <f t="shared" si="164"/>
        <v>1170</v>
      </c>
      <c r="P719">
        <f t="shared" si="165"/>
        <v>7170</v>
      </c>
      <c r="Q719">
        <f t="shared" si="166"/>
        <v>200</v>
      </c>
      <c r="R719" s="4">
        <f t="shared" si="167"/>
        <v>800000</v>
      </c>
      <c r="S719" s="3">
        <f t="shared" si="168"/>
        <v>200</v>
      </c>
      <c r="T719" t="str">
        <f t="shared" si="169"/>
        <v>C3500</v>
      </c>
      <c r="V719">
        <v>717</v>
      </c>
      <c r="W719">
        <f t="shared" si="161"/>
        <v>870</v>
      </c>
      <c r="X719">
        <f t="shared" si="163"/>
        <v>7170</v>
      </c>
      <c r="Y719">
        <f t="shared" si="162"/>
        <v>60</v>
      </c>
      <c r="Z719" s="4">
        <f t="shared" ref="Z719:AA738" si="170">IFERROR(160*1000*1000/Y719,0)</f>
        <v>2666666.6666666665</v>
      </c>
      <c r="AA719" s="3">
        <f t="shared" si="170"/>
        <v>60</v>
      </c>
      <c r="AB719" t="str">
        <f t="shared" si="158"/>
        <v>28B0AA</v>
      </c>
    </row>
    <row r="720" spans="14:28">
      <c r="N720">
        <v>718</v>
      </c>
      <c r="O720">
        <f t="shared" si="164"/>
        <v>1180</v>
      </c>
      <c r="P720">
        <f t="shared" si="165"/>
        <v>7180</v>
      </c>
      <c r="Q720">
        <f t="shared" si="166"/>
        <v>200</v>
      </c>
      <c r="R720" s="4">
        <f t="shared" si="167"/>
        <v>800000</v>
      </c>
      <c r="S720" s="3">
        <f t="shared" si="168"/>
        <v>200</v>
      </c>
      <c r="T720" t="str">
        <f t="shared" si="169"/>
        <v>C3500</v>
      </c>
      <c r="V720">
        <v>718</v>
      </c>
      <c r="W720">
        <f t="shared" si="161"/>
        <v>880</v>
      </c>
      <c r="X720">
        <f t="shared" si="163"/>
        <v>7180</v>
      </c>
      <c r="Y720">
        <f t="shared" si="162"/>
        <v>60</v>
      </c>
      <c r="Z720" s="4">
        <f t="shared" si="170"/>
        <v>2666666.6666666665</v>
      </c>
      <c r="AA720" s="3">
        <f t="shared" si="170"/>
        <v>60</v>
      </c>
      <c r="AB720" t="str">
        <f t="shared" si="158"/>
        <v>28B0AA</v>
      </c>
    </row>
    <row r="721" spans="14:28">
      <c r="N721">
        <v>719</v>
      </c>
      <c r="O721">
        <f t="shared" si="164"/>
        <v>1190</v>
      </c>
      <c r="P721">
        <f t="shared" si="165"/>
        <v>7190</v>
      </c>
      <c r="Q721">
        <f t="shared" si="166"/>
        <v>200</v>
      </c>
      <c r="R721" s="4">
        <f t="shared" si="167"/>
        <v>800000</v>
      </c>
      <c r="S721" s="3">
        <f t="shared" si="168"/>
        <v>200</v>
      </c>
      <c r="T721" t="str">
        <f t="shared" si="169"/>
        <v>C3500</v>
      </c>
      <c r="V721">
        <v>719</v>
      </c>
      <c r="W721">
        <f t="shared" si="161"/>
        <v>890</v>
      </c>
      <c r="X721">
        <f t="shared" si="163"/>
        <v>7190</v>
      </c>
      <c r="Y721">
        <f t="shared" si="162"/>
        <v>60</v>
      </c>
      <c r="Z721" s="4">
        <f t="shared" si="170"/>
        <v>2666666.6666666665</v>
      </c>
      <c r="AA721" s="3">
        <f t="shared" si="170"/>
        <v>60</v>
      </c>
      <c r="AB721" t="str">
        <f t="shared" si="158"/>
        <v>28B0AA</v>
      </c>
    </row>
    <row r="722" spans="14:28">
      <c r="N722">
        <v>720</v>
      </c>
      <c r="O722">
        <f t="shared" si="164"/>
        <v>1200</v>
      </c>
      <c r="P722">
        <f t="shared" si="165"/>
        <v>7200</v>
      </c>
      <c r="Q722">
        <f t="shared" si="166"/>
        <v>200</v>
      </c>
      <c r="R722" s="4">
        <f t="shared" si="167"/>
        <v>800000</v>
      </c>
      <c r="S722" s="3">
        <f t="shared" si="168"/>
        <v>200</v>
      </c>
      <c r="T722" t="str">
        <f t="shared" si="169"/>
        <v>C3500</v>
      </c>
      <c r="V722">
        <v>720</v>
      </c>
      <c r="W722">
        <f t="shared" si="161"/>
        <v>900</v>
      </c>
      <c r="X722">
        <f t="shared" si="163"/>
        <v>7200</v>
      </c>
      <c r="Y722">
        <f t="shared" si="162"/>
        <v>60</v>
      </c>
      <c r="Z722" s="4">
        <f t="shared" si="170"/>
        <v>2666666.6666666665</v>
      </c>
      <c r="AA722" s="3">
        <f t="shared" si="170"/>
        <v>60</v>
      </c>
      <c r="AB722" t="str">
        <f t="shared" si="158"/>
        <v>28B0AA</v>
      </c>
    </row>
    <row r="723" spans="14:28">
      <c r="N723">
        <v>721</v>
      </c>
      <c r="O723">
        <f t="shared" si="164"/>
        <v>1210</v>
      </c>
      <c r="P723">
        <f t="shared" si="165"/>
        <v>7210</v>
      </c>
      <c r="Q723">
        <f t="shared" si="166"/>
        <v>200</v>
      </c>
      <c r="R723" s="4">
        <f t="shared" si="167"/>
        <v>800000</v>
      </c>
      <c r="S723" s="3">
        <f t="shared" si="168"/>
        <v>200</v>
      </c>
      <c r="T723" t="str">
        <f t="shared" si="169"/>
        <v>C3500</v>
      </c>
      <c r="V723">
        <v>721</v>
      </c>
      <c r="W723">
        <f t="shared" si="161"/>
        <v>910</v>
      </c>
      <c r="X723">
        <f t="shared" si="163"/>
        <v>7210</v>
      </c>
      <c r="Y723">
        <f t="shared" si="162"/>
        <v>60</v>
      </c>
      <c r="Z723" s="4">
        <f t="shared" si="170"/>
        <v>2666666.6666666665</v>
      </c>
      <c r="AA723" s="3">
        <f t="shared" si="170"/>
        <v>60</v>
      </c>
      <c r="AB723" t="str">
        <f t="shared" si="158"/>
        <v>28B0AA</v>
      </c>
    </row>
    <row r="724" spans="14:28">
      <c r="N724">
        <v>722</v>
      </c>
      <c r="O724">
        <f t="shared" si="164"/>
        <v>1220</v>
      </c>
      <c r="P724">
        <f t="shared" si="165"/>
        <v>7220</v>
      </c>
      <c r="Q724">
        <f t="shared" si="166"/>
        <v>200</v>
      </c>
      <c r="R724" s="4">
        <f t="shared" si="167"/>
        <v>800000</v>
      </c>
      <c r="S724" s="3">
        <f t="shared" si="168"/>
        <v>200</v>
      </c>
      <c r="T724" t="str">
        <f t="shared" si="169"/>
        <v>C3500</v>
      </c>
      <c r="V724">
        <v>722</v>
      </c>
      <c r="W724">
        <f t="shared" si="161"/>
        <v>920</v>
      </c>
      <c r="X724">
        <f t="shared" si="163"/>
        <v>7220</v>
      </c>
      <c r="Y724">
        <f t="shared" si="162"/>
        <v>60</v>
      </c>
      <c r="Z724" s="4">
        <f t="shared" si="170"/>
        <v>2666666.6666666665</v>
      </c>
      <c r="AA724" s="3">
        <f t="shared" si="170"/>
        <v>60</v>
      </c>
      <c r="AB724" t="str">
        <f t="shared" si="158"/>
        <v>28B0AA</v>
      </c>
    </row>
    <row r="725" spans="14:28">
      <c r="N725">
        <v>723</v>
      </c>
      <c r="O725">
        <f t="shared" si="164"/>
        <v>1230</v>
      </c>
      <c r="P725">
        <f t="shared" si="165"/>
        <v>7230</v>
      </c>
      <c r="Q725">
        <f t="shared" si="166"/>
        <v>200</v>
      </c>
      <c r="R725" s="4">
        <f t="shared" si="167"/>
        <v>800000</v>
      </c>
      <c r="S725" s="3">
        <f t="shared" si="168"/>
        <v>200</v>
      </c>
      <c r="T725" t="str">
        <f t="shared" si="169"/>
        <v>C3500</v>
      </c>
      <c r="V725">
        <v>723</v>
      </c>
      <c r="W725">
        <f t="shared" si="161"/>
        <v>930</v>
      </c>
      <c r="X725">
        <f t="shared" si="163"/>
        <v>7230</v>
      </c>
      <c r="Y725">
        <f t="shared" si="162"/>
        <v>60</v>
      </c>
      <c r="Z725" s="4">
        <f t="shared" si="170"/>
        <v>2666666.6666666665</v>
      </c>
      <c r="AA725" s="3">
        <f t="shared" si="170"/>
        <v>60</v>
      </c>
      <c r="AB725" t="str">
        <f t="shared" si="158"/>
        <v>28B0AA</v>
      </c>
    </row>
    <row r="726" spans="14:28">
      <c r="N726">
        <v>724</v>
      </c>
      <c r="O726">
        <f t="shared" si="164"/>
        <v>1240</v>
      </c>
      <c r="P726">
        <f t="shared" si="165"/>
        <v>7240</v>
      </c>
      <c r="Q726">
        <f t="shared" si="166"/>
        <v>200</v>
      </c>
      <c r="R726" s="4">
        <f t="shared" si="167"/>
        <v>800000</v>
      </c>
      <c r="S726" s="3">
        <f t="shared" si="168"/>
        <v>200</v>
      </c>
      <c r="T726" t="str">
        <f t="shared" si="169"/>
        <v>C3500</v>
      </c>
      <c r="V726">
        <v>724</v>
      </c>
      <c r="W726">
        <f t="shared" si="161"/>
        <v>940</v>
      </c>
      <c r="X726">
        <f t="shared" si="163"/>
        <v>7240</v>
      </c>
      <c r="Y726">
        <f t="shared" si="162"/>
        <v>60</v>
      </c>
      <c r="Z726" s="4">
        <f t="shared" si="170"/>
        <v>2666666.6666666665</v>
      </c>
      <c r="AA726" s="3">
        <f t="shared" si="170"/>
        <v>60</v>
      </c>
      <c r="AB726" t="str">
        <f t="shared" si="158"/>
        <v>28B0AA</v>
      </c>
    </row>
    <row r="727" spans="14:28">
      <c r="N727">
        <v>725</v>
      </c>
      <c r="O727">
        <f t="shared" si="164"/>
        <v>1250</v>
      </c>
      <c r="P727">
        <f t="shared" si="165"/>
        <v>7250</v>
      </c>
      <c r="Q727">
        <f t="shared" si="166"/>
        <v>200</v>
      </c>
      <c r="R727" s="4">
        <f t="shared" si="167"/>
        <v>800000</v>
      </c>
      <c r="S727" s="3">
        <f t="shared" si="168"/>
        <v>200</v>
      </c>
      <c r="T727" t="str">
        <f t="shared" si="169"/>
        <v>C3500</v>
      </c>
      <c r="V727">
        <v>725</v>
      </c>
      <c r="W727">
        <f t="shared" si="161"/>
        <v>950</v>
      </c>
      <c r="X727">
        <f t="shared" si="163"/>
        <v>7250</v>
      </c>
      <c r="Y727">
        <f t="shared" si="162"/>
        <v>60</v>
      </c>
      <c r="Z727" s="4">
        <f t="shared" si="170"/>
        <v>2666666.6666666665</v>
      </c>
      <c r="AA727" s="3">
        <f t="shared" si="170"/>
        <v>60</v>
      </c>
      <c r="AB727" t="str">
        <f t="shared" si="158"/>
        <v>28B0AA</v>
      </c>
    </row>
    <row r="728" spans="14:28">
      <c r="N728">
        <v>726</v>
      </c>
      <c r="O728">
        <f t="shared" si="164"/>
        <v>1260</v>
      </c>
      <c r="P728">
        <f t="shared" si="165"/>
        <v>7260</v>
      </c>
      <c r="Q728">
        <f t="shared" si="166"/>
        <v>192.2</v>
      </c>
      <c r="R728" s="4">
        <f t="shared" si="167"/>
        <v>832466.1810613944</v>
      </c>
      <c r="S728" s="3">
        <f t="shared" si="168"/>
        <v>192.2</v>
      </c>
      <c r="T728" t="str">
        <f t="shared" si="169"/>
        <v>CB3D2</v>
      </c>
      <c r="V728">
        <v>726</v>
      </c>
      <c r="W728">
        <f t="shared" si="161"/>
        <v>960</v>
      </c>
      <c r="X728">
        <f t="shared" si="163"/>
        <v>7260</v>
      </c>
      <c r="Y728">
        <f t="shared" si="162"/>
        <v>60</v>
      </c>
      <c r="Z728" s="4">
        <f t="shared" si="170"/>
        <v>2666666.6666666665</v>
      </c>
      <c r="AA728" s="3">
        <f t="shared" si="170"/>
        <v>60</v>
      </c>
      <c r="AB728" t="str">
        <f t="shared" si="158"/>
        <v>28B0AA</v>
      </c>
    </row>
    <row r="729" spans="14:28">
      <c r="N729">
        <v>727</v>
      </c>
      <c r="O729">
        <f t="shared" si="164"/>
        <v>1270</v>
      </c>
      <c r="P729">
        <f t="shared" si="165"/>
        <v>7270</v>
      </c>
      <c r="Q729">
        <f t="shared" si="166"/>
        <v>184.4</v>
      </c>
      <c r="R729" s="4">
        <f t="shared" si="167"/>
        <v>867678.95878524939</v>
      </c>
      <c r="S729" s="3">
        <f t="shared" si="168"/>
        <v>184.4</v>
      </c>
      <c r="T729" t="str">
        <f t="shared" si="169"/>
        <v>D3D5E</v>
      </c>
      <c r="V729">
        <v>727</v>
      </c>
      <c r="W729">
        <f t="shared" si="161"/>
        <v>970</v>
      </c>
      <c r="X729">
        <f t="shared" si="163"/>
        <v>7270</v>
      </c>
      <c r="Y729">
        <f t="shared" si="162"/>
        <v>60</v>
      </c>
      <c r="Z729" s="4">
        <f t="shared" si="170"/>
        <v>2666666.6666666665</v>
      </c>
      <c r="AA729" s="3">
        <f t="shared" si="170"/>
        <v>60</v>
      </c>
      <c r="AB729" t="str">
        <f t="shared" si="158"/>
        <v>28B0AA</v>
      </c>
    </row>
    <row r="730" spans="14:28">
      <c r="N730">
        <v>728</v>
      </c>
      <c r="O730">
        <f t="shared" si="164"/>
        <v>1280</v>
      </c>
      <c r="P730">
        <f t="shared" si="165"/>
        <v>7280</v>
      </c>
      <c r="Q730">
        <f t="shared" si="166"/>
        <v>176.6</v>
      </c>
      <c r="R730" s="4">
        <f t="shared" si="167"/>
        <v>906002.26500566257</v>
      </c>
      <c r="S730" s="3">
        <f t="shared" si="168"/>
        <v>176.6</v>
      </c>
      <c r="T730" t="str">
        <f t="shared" si="169"/>
        <v>DD312</v>
      </c>
      <c r="V730">
        <v>728</v>
      </c>
      <c r="W730">
        <f t="shared" si="161"/>
        <v>980</v>
      </c>
      <c r="X730">
        <f t="shared" si="163"/>
        <v>7280</v>
      </c>
      <c r="Y730">
        <f t="shared" si="162"/>
        <v>60</v>
      </c>
      <c r="Z730" s="4">
        <f t="shared" si="170"/>
        <v>2666666.6666666665</v>
      </c>
      <c r="AA730" s="3">
        <f t="shared" si="170"/>
        <v>60</v>
      </c>
      <c r="AB730" t="str">
        <f t="shared" si="158"/>
        <v>28B0AA</v>
      </c>
    </row>
    <row r="731" spans="14:28">
      <c r="N731">
        <v>729</v>
      </c>
      <c r="O731">
        <f t="shared" si="164"/>
        <v>1290</v>
      </c>
      <c r="P731">
        <f t="shared" si="165"/>
        <v>7290</v>
      </c>
      <c r="Q731">
        <f t="shared" si="166"/>
        <v>168.79999999999998</v>
      </c>
      <c r="R731" s="4">
        <f t="shared" si="167"/>
        <v>947867.29857819912</v>
      </c>
      <c r="S731" s="3">
        <f t="shared" si="168"/>
        <v>168.79999999999998</v>
      </c>
      <c r="T731" t="str">
        <f t="shared" si="169"/>
        <v>E769B</v>
      </c>
      <c r="V731">
        <v>729</v>
      </c>
      <c r="W731">
        <f t="shared" si="161"/>
        <v>990</v>
      </c>
      <c r="X731">
        <f t="shared" si="163"/>
        <v>7290</v>
      </c>
      <c r="Y731">
        <f t="shared" si="162"/>
        <v>60</v>
      </c>
      <c r="Z731" s="4">
        <f t="shared" si="170"/>
        <v>2666666.6666666665</v>
      </c>
      <c r="AA731" s="3">
        <f t="shared" si="170"/>
        <v>60</v>
      </c>
      <c r="AB731" t="str">
        <f t="shared" si="158"/>
        <v>28B0AA</v>
      </c>
    </row>
    <row r="732" spans="14:28">
      <c r="N732">
        <v>730</v>
      </c>
      <c r="O732">
        <f t="shared" si="164"/>
        <v>1300</v>
      </c>
      <c r="P732">
        <f t="shared" si="165"/>
        <v>7300</v>
      </c>
      <c r="Q732">
        <f t="shared" si="166"/>
        <v>161</v>
      </c>
      <c r="R732" s="4">
        <f t="shared" si="167"/>
        <v>993788.81987577642</v>
      </c>
      <c r="S732" s="3">
        <f t="shared" si="168"/>
        <v>161</v>
      </c>
      <c r="T732" t="str">
        <f t="shared" si="169"/>
        <v>F29FC</v>
      </c>
      <c r="V732">
        <v>730</v>
      </c>
      <c r="W732">
        <f t="shared" si="161"/>
        <v>1000</v>
      </c>
      <c r="X732">
        <f t="shared" si="163"/>
        <v>7300</v>
      </c>
      <c r="Y732">
        <f t="shared" si="162"/>
        <v>60</v>
      </c>
      <c r="Z732" s="4">
        <f t="shared" si="170"/>
        <v>2666666.6666666665</v>
      </c>
      <c r="AA732" s="3">
        <f t="shared" si="170"/>
        <v>60</v>
      </c>
      <c r="AB732" t="str">
        <f t="shared" si="158"/>
        <v>28B0AA</v>
      </c>
    </row>
    <row r="733" spans="14:28">
      <c r="N733">
        <v>731</v>
      </c>
      <c r="O733">
        <f t="shared" si="164"/>
        <v>1310</v>
      </c>
      <c r="P733">
        <f t="shared" si="165"/>
        <v>7310</v>
      </c>
      <c r="Q733">
        <f t="shared" si="166"/>
        <v>153.19999999999999</v>
      </c>
      <c r="R733" s="4">
        <f t="shared" si="167"/>
        <v>1044386.4229765014</v>
      </c>
      <c r="S733" s="3">
        <f t="shared" si="168"/>
        <v>153.19999999999999</v>
      </c>
      <c r="T733" t="str">
        <f t="shared" si="169"/>
        <v>FEFA2</v>
      </c>
      <c r="V733">
        <v>731</v>
      </c>
      <c r="W733">
        <f t="shared" si="161"/>
        <v>1010</v>
      </c>
      <c r="X733">
        <f t="shared" si="163"/>
        <v>7310</v>
      </c>
      <c r="Y733">
        <f t="shared" si="162"/>
        <v>60</v>
      </c>
      <c r="Z733" s="4">
        <f t="shared" si="170"/>
        <v>2666666.6666666665</v>
      </c>
      <c r="AA733" s="3">
        <f t="shared" si="170"/>
        <v>60</v>
      </c>
      <c r="AB733" t="str">
        <f t="shared" si="158"/>
        <v>28B0AA</v>
      </c>
    </row>
    <row r="734" spans="14:28">
      <c r="N734">
        <v>732</v>
      </c>
      <c r="O734">
        <f t="shared" si="164"/>
        <v>1320</v>
      </c>
      <c r="P734">
        <f t="shared" si="165"/>
        <v>7320</v>
      </c>
      <c r="Q734">
        <f t="shared" si="166"/>
        <v>145.4</v>
      </c>
      <c r="R734" s="4">
        <f t="shared" si="167"/>
        <v>1100412.6547455296</v>
      </c>
      <c r="S734" s="3">
        <f t="shared" si="168"/>
        <v>145.39999999999998</v>
      </c>
      <c r="T734" t="str">
        <f t="shared" si="169"/>
        <v>10CA7C</v>
      </c>
      <c r="V734">
        <v>732</v>
      </c>
      <c r="W734">
        <f t="shared" si="161"/>
        <v>1020</v>
      </c>
      <c r="X734">
        <f t="shared" si="163"/>
        <v>7320</v>
      </c>
      <c r="Y734">
        <f t="shared" si="162"/>
        <v>60</v>
      </c>
      <c r="Z734" s="4">
        <f t="shared" si="170"/>
        <v>2666666.6666666665</v>
      </c>
      <c r="AA734" s="3">
        <f t="shared" si="170"/>
        <v>60</v>
      </c>
      <c r="AB734" t="str">
        <f t="shared" si="158"/>
        <v>28B0AA</v>
      </c>
    </row>
    <row r="735" spans="14:28">
      <c r="N735">
        <v>733</v>
      </c>
      <c r="O735">
        <f t="shared" si="164"/>
        <v>1330</v>
      </c>
      <c r="P735">
        <f t="shared" si="165"/>
        <v>7330</v>
      </c>
      <c r="Q735">
        <f t="shared" si="166"/>
        <v>137.60000000000002</v>
      </c>
      <c r="R735" s="4">
        <f t="shared" si="167"/>
        <v>1162790.6976744183</v>
      </c>
      <c r="S735" s="3">
        <f t="shared" si="168"/>
        <v>137.60000000000002</v>
      </c>
      <c r="T735" t="str">
        <f t="shared" si="169"/>
        <v>11BE26</v>
      </c>
      <c r="V735">
        <v>733</v>
      </c>
      <c r="W735">
        <f t="shared" si="161"/>
        <v>1030</v>
      </c>
      <c r="X735">
        <f t="shared" si="163"/>
        <v>7330</v>
      </c>
      <c r="Y735">
        <f t="shared" si="162"/>
        <v>60</v>
      </c>
      <c r="Z735" s="4">
        <f t="shared" si="170"/>
        <v>2666666.6666666665</v>
      </c>
      <c r="AA735" s="3">
        <f t="shared" si="170"/>
        <v>60</v>
      </c>
      <c r="AB735" t="str">
        <f t="shared" si="158"/>
        <v>28B0AA</v>
      </c>
    </row>
    <row r="736" spans="14:28">
      <c r="N736">
        <v>734</v>
      </c>
      <c r="O736">
        <f t="shared" si="164"/>
        <v>1340</v>
      </c>
      <c r="P736">
        <f t="shared" si="165"/>
        <v>7340</v>
      </c>
      <c r="Q736">
        <f t="shared" si="166"/>
        <v>129.80000000000001</v>
      </c>
      <c r="R736" s="4">
        <f t="shared" si="167"/>
        <v>1232665.6394453004</v>
      </c>
      <c r="S736" s="3">
        <f t="shared" si="168"/>
        <v>129.80000000000001</v>
      </c>
      <c r="T736" t="str">
        <f t="shared" si="169"/>
        <v>12CF19</v>
      </c>
      <c r="V736">
        <v>734</v>
      </c>
      <c r="W736">
        <f t="shared" si="161"/>
        <v>1040</v>
      </c>
      <c r="X736">
        <f t="shared" si="163"/>
        <v>7340</v>
      </c>
      <c r="Y736">
        <f t="shared" si="162"/>
        <v>60</v>
      </c>
      <c r="Z736" s="4">
        <f t="shared" si="170"/>
        <v>2666666.6666666665</v>
      </c>
      <c r="AA736" s="3">
        <f t="shared" si="170"/>
        <v>60</v>
      </c>
      <c r="AB736" t="str">
        <f t="shared" si="158"/>
        <v>28B0AA</v>
      </c>
    </row>
    <row r="737" spans="14:28">
      <c r="N737">
        <v>735</v>
      </c>
      <c r="O737">
        <f t="shared" si="164"/>
        <v>1350</v>
      </c>
      <c r="P737">
        <f t="shared" si="165"/>
        <v>7350</v>
      </c>
      <c r="Q737">
        <f t="shared" si="166"/>
        <v>122</v>
      </c>
      <c r="R737" s="4">
        <f t="shared" si="167"/>
        <v>1311475.4098360655</v>
      </c>
      <c r="S737" s="3">
        <f t="shared" si="168"/>
        <v>122.00000000000001</v>
      </c>
      <c r="T737" t="str">
        <f t="shared" si="169"/>
        <v>1402F3</v>
      </c>
      <c r="V737">
        <v>735</v>
      </c>
      <c r="W737">
        <f t="shared" si="161"/>
        <v>1050</v>
      </c>
      <c r="X737">
        <f t="shared" si="163"/>
        <v>7350</v>
      </c>
      <c r="Y737">
        <f t="shared" si="162"/>
        <v>60</v>
      </c>
      <c r="Z737" s="4">
        <f t="shared" si="170"/>
        <v>2666666.6666666665</v>
      </c>
      <c r="AA737" s="3">
        <f t="shared" si="170"/>
        <v>60</v>
      </c>
      <c r="AB737" t="str">
        <f t="shared" si="158"/>
        <v>28B0AA</v>
      </c>
    </row>
    <row r="738" spans="14:28">
      <c r="N738">
        <v>736</v>
      </c>
      <c r="O738">
        <f t="shared" si="164"/>
        <v>1360</v>
      </c>
      <c r="P738">
        <f t="shared" si="165"/>
        <v>7360</v>
      </c>
      <c r="Q738">
        <f t="shared" si="166"/>
        <v>114.20000000000002</v>
      </c>
      <c r="R738" s="4">
        <f t="shared" si="167"/>
        <v>1401050.7880910682</v>
      </c>
      <c r="S738" s="3">
        <f t="shared" si="168"/>
        <v>114.20000000000002</v>
      </c>
      <c r="T738" t="str">
        <f t="shared" si="169"/>
        <v>1560DA</v>
      </c>
      <c r="V738">
        <v>736</v>
      </c>
      <c r="W738">
        <f t="shared" si="161"/>
        <v>1060</v>
      </c>
      <c r="X738">
        <f t="shared" si="163"/>
        <v>7360</v>
      </c>
      <c r="Y738">
        <f t="shared" si="162"/>
        <v>60</v>
      </c>
      <c r="Z738" s="4">
        <f t="shared" si="170"/>
        <v>2666666.6666666665</v>
      </c>
      <c r="AA738" s="3">
        <f t="shared" si="170"/>
        <v>60</v>
      </c>
      <c r="AB738" t="str">
        <f t="shared" ref="AB738:AB801" si="171">DEC2HEX(Z738)</f>
        <v>28B0AA</v>
      </c>
    </row>
    <row r="739" spans="14:28">
      <c r="N739">
        <v>737</v>
      </c>
      <c r="O739">
        <f t="shared" si="164"/>
        <v>1370</v>
      </c>
      <c r="P739">
        <f t="shared" si="165"/>
        <v>7370</v>
      </c>
      <c r="Q739">
        <f t="shared" si="166"/>
        <v>106.4</v>
      </c>
      <c r="R739" s="4">
        <f t="shared" si="167"/>
        <v>1503759.3984962406</v>
      </c>
      <c r="S739" s="3">
        <f t="shared" si="168"/>
        <v>106.4</v>
      </c>
      <c r="T739" t="str">
        <f t="shared" si="169"/>
        <v>16F20F</v>
      </c>
      <c r="V739">
        <v>737</v>
      </c>
      <c r="W739">
        <f t="shared" si="161"/>
        <v>1070</v>
      </c>
      <c r="X739">
        <f t="shared" si="163"/>
        <v>7370</v>
      </c>
      <c r="Y739">
        <f t="shared" si="162"/>
        <v>60</v>
      </c>
      <c r="Z739" s="4">
        <f t="shared" ref="Z739:AA758" si="172">IFERROR(160*1000*1000/Y739,0)</f>
        <v>2666666.6666666665</v>
      </c>
      <c r="AA739" s="3">
        <f t="shared" si="172"/>
        <v>60</v>
      </c>
      <c r="AB739" t="str">
        <f t="shared" si="171"/>
        <v>28B0AA</v>
      </c>
    </row>
    <row r="740" spans="14:28">
      <c r="N740">
        <v>738</v>
      </c>
      <c r="O740">
        <f t="shared" si="164"/>
        <v>1380</v>
      </c>
      <c r="P740">
        <f t="shared" si="165"/>
        <v>7380</v>
      </c>
      <c r="Q740">
        <f t="shared" si="166"/>
        <v>98.6</v>
      </c>
      <c r="R740" s="4">
        <f t="shared" si="167"/>
        <v>1622718.0527383368</v>
      </c>
      <c r="S740" s="3">
        <f t="shared" si="168"/>
        <v>98.6</v>
      </c>
      <c r="T740" t="str">
        <f t="shared" si="169"/>
        <v>18C2BE</v>
      </c>
      <c r="V740">
        <v>738</v>
      </c>
      <c r="W740">
        <f t="shared" si="161"/>
        <v>1080</v>
      </c>
      <c r="X740">
        <f t="shared" si="163"/>
        <v>7380</v>
      </c>
      <c r="Y740">
        <f t="shared" si="162"/>
        <v>60</v>
      </c>
      <c r="Z740" s="4">
        <f t="shared" si="172"/>
        <v>2666666.6666666665</v>
      </c>
      <c r="AA740" s="3">
        <f t="shared" si="172"/>
        <v>60</v>
      </c>
      <c r="AB740" t="str">
        <f t="shared" si="171"/>
        <v>28B0AA</v>
      </c>
    </row>
    <row r="741" spans="14:28">
      <c r="N741">
        <v>739</v>
      </c>
      <c r="O741">
        <f t="shared" si="164"/>
        <v>1390</v>
      </c>
      <c r="P741">
        <f t="shared" si="165"/>
        <v>7390</v>
      </c>
      <c r="Q741">
        <f t="shared" si="166"/>
        <v>90.8</v>
      </c>
      <c r="R741" s="4">
        <f t="shared" si="167"/>
        <v>1762114.537444934</v>
      </c>
      <c r="S741" s="3">
        <f t="shared" si="168"/>
        <v>90.8</v>
      </c>
      <c r="T741" t="str">
        <f t="shared" si="169"/>
        <v>1AE342</v>
      </c>
      <c r="V741">
        <v>739</v>
      </c>
      <c r="W741">
        <f t="shared" si="161"/>
        <v>1090</v>
      </c>
      <c r="X741">
        <f t="shared" si="163"/>
        <v>7390</v>
      </c>
      <c r="Y741">
        <f t="shared" si="162"/>
        <v>60</v>
      </c>
      <c r="Z741" s="4">
        <f t="shared" si="172"/>
        <v>2666666.6666666665</v>
      </c>
      <c r="AA741" s="3">
        <f t="shared" si="172"/>
        <v>60</v>
      </c>
      <c r="AB741" t="str">
        <f t="shared" si="171"/>
        <v>28B0AA</v>
      </c>
    </row>
    <row r="742" spans="14:28">
      <c r="N742">
        <v>740</v>
      </c>
      <c r="O742">
        <f t="shared" si="164"/>
        <v>1400</v>
      </c>
      <c r="P742">
        <f t="shared" si="165"/>
        <v>7400</v>
      </c>
      <c r="Q742">
        <f t="shared" si="166"/>
        <v>83</v>
      </c>
      <c r="R742" s="4">
        <f t="shared" si="167"/>
        <v>1927710.843373494</v>
      </c>
      <c r="S742" s="3">
        <f t="shared" si="168"/>
        <v>83</v>
      </c>
      <c r="T742" t="str">
        <f t="shared" si="169"/>
        <v>1D6A1E</v>
      </c>
      <c r="V742">
        <v>740</v>
      </c>
      <c r="W742">
        <f t="shared" si="161"/>
        <v>1100</v>
      </c>
      <c r="X742">
        <f t="shared" si="163"/>
        <v>7400</v>
      </c>
      <c r="Y742">
        <f t="shared" si="162"/>
        <v>60</v>
      </c>
      <c r="Z742" s="4">
        <f t="shared" si="172"/>
        <v>2666666.6666666665</v>
      </c>
      <c r="AA742" s="3">
        <f t="shared" si="172"/>
        <v>60</v>
      </c>
      <c r="AB742" t="str">
        <f t="shared" si="171"/>
        <v>28B0AA</v>
      </c>
    </row>
    <row r="743" spans="14:28">
      <c r="N743">
        <v>741</v>
      </c>
      <c r="O743">
        <f t="shared" si="164"/>
        <v>1410</v>
      </c>
      <c r="P743">
        <f t="shared" si="165"/>
        <v>7410</v>
      </c>
      <c r="Q743">
        <f t="shared" si="166"/>
        <v>75.2</v>
      </c>
      <c r="R743" s="4">
        <f t="shared" si="167"/>
        <v>2127659.5744680851</v>
      </c>
      <c r="S743" s="3">
        <f t="shared" si="168"/>
        <v>75.2</v>
      </c>
      <c r="T743" t="str">
        <f t="shared" si="169"/>
        <v>20772B</v>
      </c>
      <c r="V743">
        <v>741</v>
      </c>
      <c r="W743">
        <f t="shared" si="161"/>
        <v>1110</v>
      </c>
      <c r="X743">
        <f t="shared" si="163"/>
        <v>7410</v>
      </c>
      <c r="Y743">
        <f t="shared" si="162"/>
        <v>60</v>
      </c>
      <c r="Z743" s="4">
        <f t="shared" si="172"/>
        <v>2666666.6666666665</v>
      </c>
      <c r="AA743" s="3">
        <f t="shared" si="172"/>
        <v>60</v>
      </c>
      <c r="AB743" t="str">
        <f t="shared" si="171"/>
        <v>28B0AA</v>
      </c>
    </row>
    <row r="744" spans="14:28">
      <c r="N744">
        <v>742</v>
      </c>
      <c r="O744">
        <f t="shared" si="164"/>
        <v>1420</v>
      </c>
      <c r="P744">
        <f t="shared" si="165"/>
        <v>7420</v>
      </c>
      <c r="Q744">
        <f t="shared" si="166"/>
        <v>67.400000000000006</v>
      </c>
      <c r="R744" s="4">
        <f t="shared" si="167"/>
        <v>2373887.240356083</v>
      </c>
      <c r="S744" s="3">
        <f t="shared" si="168"/>
        <v>67.400000000000006</v>
      </c>
      <c r="T744" t="str">
        <f t="shared" si="169"/>
        <v>2438FF</v>
      </c>
      <c r="V744">
        <v>742</v>
      </c>
      <c r="W744">
        <f t="shared" si="161"/>
        <v>1120</v>
      </c>
      <c r="X744">
        <f t="shared" si="163"/>
        <v>7420</v>
      </c>
      <c r="Y744">
        <f t="shared" si="162"/>
        <v>60</v>
      </c>
      <c r="Z744" s="4">
        <f t="shared" si="172"/>
        <v>2666666.6666666665</v>
      </c>
      <c r="AA744" s="3">
        <f t="shared" si="172"/>
        <v>60</v>
      </c>
      <c r="AB744" t="str">
        <f t="shared" si="171"/>
        <v>28B0AA</v>
      </c>
    </row>
    <row r="745" spans="14:28">
      <c r="N745">
        <v>743</v>
      </c>
      <c r="O745">
        <f t="shared" si="164"/>
        <v>1430</v>
      </c>
      <c r="P745">
        <f t="shared" si="165"/>
        <v>7430</v>
      </c>
      <c r="Q745">
        <f t="shared" si="166"/>
        <v>59.600000000000009</v>
      </c>
      <c r="R745" s="4">
        <f t="shared" si="167"/>
        <v>2684563.7583892616</v>
      </c>
      <c r="S745" s="3">
        <f t="shared" si="168"/>
        <v>59.6</v>
      </c>
      <c r="T745" t="str">
        <f t="shared" si="169"/>
        <v>28F693</v>
      </c>
      <c r="V745">
        <v>743</v>
      </c>
      <c r="W745">
        <f t="shared" si="161"/>
        <v>1130</v>
      </c>
      <c r="X745">
        <f t="shared" si="163"/>
        <v>7430</v>
      </c>
      <c r="Y745">
        <f t="shared" si="162"/>
        <v>60</v>
      </c>
      <c r="Z745" s="4">
        <f t="shared" si="172"/>
        <v>2666666.6666666665</v>
      </c>
      <c r="AA745" s="3">
        <f t="shared" si="172"/>
        <v>60</v>
      </c>
      <c r="AB745" t="str">
        <f t="shared" si="171"/>
        <v>28B0AA</v>
      </c>
    </row>
    <row r="746" spans="14:28">
      <c r="N746">
        <v>744</v>
      </c>
      <c r="O746">
        <f t="shared" si="164"/>
        <v>1440</v>
      </c>
      <c r="P746">
        <f t="shared" si="165"/>
        <v>7440</v>
      </c>
      <c r="Q746">
        <f t="shared" si="166"/>
        <v>51.8</v>
      </c>
      <c r="R746" s="4">
        <f t="shared" si="167"/>
        <v>3088803.0888030888</v>
      </c>
      <c r="S746" s="3">
        <f t="shared" si="168"/>
        <v>51.800000000000004</v>
      </c>
      <c r="T746" t="str">
        <f t="shared" si="169"/>
        <v>2F21A3</v>
      </c>
      <c r="V746">
        <v>744</v>
      </c>
      <c r="W746">
        <f t="shared" si="161"/>
        <v>1140</v>
      </c>
      <c r="X746">
        <f t="shared" si="163"/>
        <v>7440</v>
      </c>
      <c r="Y746">
        <f t="shared" si="162"/>
        <v>60</v>
      </c>
      <c r="Z746" s="4">
        <f t="shared" si="172"/>
        <v>2666666.6666666665</v>
      </c>
      <c r="AA746" s="3">
        <f t="shared" si="172"/>
        <v>60</v>
      </c>
      <c r="AB746" t="str">
        <f t="shared" si="171"/>
        <v>28B0AA</v>
      </c>
    </row>
    <row r="747" spans="14:28">
      <c r="N747">
        <v>745</v>
      </c>
      <c r="O747">
        <f t="shared" si="164"/>
        <v>1450</v>
      </c>
      <c r="P747">
        <f t="shared" si="165"/>
        <v>7450</v>
      </c>
      <c r="Q747">
        <f t="shared" si="166"/>
        <v>44</v>
      </c>
      <c r="R747" s="4">
        <f t="shared" si="167"/>
        <v>3636363.6363636362</v>
      </c>
      <c r="S747" s="3">
        <f t="shared" si="168"/>
        <v>44</v>
      </c>
      <c r="T747" t="str">
        <f t="shared" si="169"/>
        <v>377C8B</v>
      </c>
      <c r="V747">
        <v>745</v>
      </c>
      <c r="W747">
        <f t="shared" si="161"/>
        <v>1150</v>
      </c>
      <c r="X747">
        <f t="shared" si="163"/>
        <v>7450</v>
      </c>
      <c r="Y747">
        <f t="shared" si="162"/>
        <v>60</v>
      </c>
      <c r="Z747" s="4">
        <f t="shared" si="172"/>
        <v>2666666.6666666665</v>
      </c>
      <c r="AA747" s="3">
        <f t="shared" si="172"/>
        <v>60</v>
      </c>
      <c r="AB747" t="str">
        <f t="shared" si="171"/>
        <v>28B0AA</v>
      </c>
    </row>
    <row r="748" spans="14:28">
      <c r="N748">
        <v>746</v>
      </c>
      <c r="O748">
        <f t="shared" si="164"/>
        <v>1460</v>
      </c>
      <c r="P748">
        <f t="shared" si="165"/>
        <v>7460</v>
      </c>
      <c r="Q748">
        <f t="shared" si="166"/>
        <v>36.200000000000003</v>
      </c>
      <c r="R748" s="4">
        <f t="shared" si="167"/>
        <v>4419889.5027624303</v>
      </c>
      <c r="S748" s="3">
        <f t="shared" si="168"/>
        <v>36.200000000000003</v>
      </c>
      <c r="T748" t="str">
        <f t="shared" si="169"/>
        <v>437131</v>
      </c>
      <c r="V748">
        <v>746</v>
      </c>
      <c r="W748">
        <f t="shared" si="161"/>
        <v>1160</v>
      </c>
      <c r="X748">
        <f t="shared" si="163"/>
        <v>7460</v>
      </c>
      <c r="Y748">
        <f t="shared" si="162"/>
        <v>60</v>
      </c>
      <c r="Z748" s="4">
        <f t="shared" si="172"/>
        <v>2666666.6666666665</v>
      </c>
      <c r="AA748" s="3">
        <f t="shared" si="172"/>
        <v>60</v>
      </c>
      <c r="AB748" t="str">
        <f t="shared" si="171"/>
        <v>28B0AA</v>
      </c>
    </row>
    <row r="749" spans="14:28">
      <c r="N749">
        <v>747</v>
      </c>
      <c r="O749">
        <f t="shared" si="164"/>
        <v>1470</v>
      </c>
      <c r="P749">
        <f t="shared" si="165"/>
        <v>7470</v>
      </c>
      <c r="Q749">
        <f t="shared" si="166"/>
        <v>28.4</v>
      </c>
      <c r="R749" s="4">
        <f t="shared" si="167"/>
        <v>5633802.8169014091</v>
      </c>
      <c r="S749" s="3">
        <f t="shared" si="168"/>
        <v>28.4</v>
      </c>
      <c r="T749" t="str">
        <f t="shared" si="169"/>
        <v>55F70A</v>
      </c>
      <c r="V749">
        <v>747</v>
      </c>
      <c r="W749">
        <f t="shared" si="161"/>
        <v>1170</v>
      </c>
      <c r="X749">
        <f t="shared" si="163"/>
        <v>7470</v>
      </c>
      <c r="Y749">
        <f t="shared" si="162"/>
        <v>60</v>
      </c>
      <c r="Z749" s="4">
        <f t="shared" si="172"/>
        <v>2666666.6666666665</v>
      </c>
      <c r="AA749" s="3">
        <f t="shared" si="172"/>
        <v>60</v>
      </c>
      <c r="AB749" t="str">
        <f t="shared" si="171"/>
        <v>28B0AA</v>
      </c>
    </row>
    <row r="750" spans="14:28">
      <c r="N750">
        <v>748</v>
      </c>
      <c r="O750">
        <f t="shared" si="164"/>
        <v>1480</v>
      </c>
      <c r="P750">
        <f t="shared" si="165"/>
        <v>7480</v>
      </c>
      <c r="Q750">
        <f t="shared" si="166"/>
        <v>20.6</v>
      </c>
      <c r="R750" s="4">
        <f t="shared" si="167"/>
        <v>7766990.2912621358</v>
      </c>
      <c r="S750" s="3">
        <f t="shared" si="168"/>
        <v>20.6</v>
      </c>
      <c r="T750" t="str">
        <f t="shared" si="169"/>
        <v>7683CE</v>
      </c>
      <c r="V750">
        <v>748</v>
      </c>
      <c r="W750">
        <f t="shared" si="161"/>
        <v>1180</v>
      </c>
      <c r="X750">
        <f t="shared" si="163"/>
        <v>7480</v>
      </c>
      <c r="Y750">
        <f t="shared" si="162"/>
        <v>60</v>
      </c>
      <c r="Z750" s="4">
        <f t="shared" si="172"/>
        <v>2666666.6666666665</v>
      </c>
      <c r="AA750" s="3">
        <f t="shared" si="172"/>
        <v>60</v>
      </c>
      <c r="AB750" t="str">
        <f t="shared" si="171"/>
        <v>28B0AA</v>
      </c>
    </row>
    <row r="751" spans="14:28">
      <c r="N751">
        <v>749</v>
      </c>
      <c r="O751">
        <f t="shared" si="164"/>
        <v>1490</v>
      </c>
      <c r="P751">
        <f t="shared" si="165"/>
        <v>7490</v>
      </c>
      <c r="Q751">
        <f t="shared" si="166"/>
        <v>12.8</v>
      </c>
      <c r="R751" s="4">
        <f t="shared" si="167"/>
        <v>12500000</v>
      </c>
      <c r="S751" s="3">
        <f t="shared" si="168"/>
        <v>12.8</v>
      </c>
      <c r="T751" t="str">
        <f t="shared" si="169"/>
        <v>BEBC20</v>
      </c>
      <c r="V751">
        <v>749</v>
      </c>
      <c r="W751">
        <f t="shared" si="161"/>
        <v>1190</v>
      </c>
      <c r="X751">
        <f t="shared" si="163"/>
        <v>7490</v>
      </c>
      <c r="Y751">
        <f t="shared" si="162"/>
        <v>60</v>
      </c>
      <c r="Z751" s="4">
        <f t="shared" si="172"/>
        <v>2666666.6666666665</v>
      </c>
      <c r="AA751" s="3">
        <f t="shared" si="172"/>
        <v>60</v>
      </c>
      <c r="AB751" t="str">
        <f t="shared" si="171"/>
        <v>28B0AA</v>
      </c>
    </row>
    <row r="752" spans="14:28">
      <c r="N752">
        <v>750</v>
      </c>
      <c r="O752">
        <f t="shared" si="164"/>
        <v>1500</v>
      </c>
      <c r="P752">
        <f t="shared" si="165"/>
        <v>7500</v>
      </c>
      <c r="Q752">
        <f t="shared" si="166"/>
        <v>5</v>
      </c>
      <c r="R752" s="4">
        <f t="shared" si="167"/>
        <v>32000000</v>
      </c>
      <c r="S752" s="3">
        <f t="shared" si="168"/>
        <v>5</v>
      </c>
      <c r="T752" t="str">
        <f t="shared" si="169"/>
        <v>1E84800</v>
      </c>
      <c r="V752">
        <v>750</v>
      </c>
      <c r="W752">
        <f t="shared" si="161"/>
        <v>1200</v>
      </c>
      <c r="X752">
        <f t="shared" si="163"/>
        <v>7500</v>
      </c>
      <c r="Y752">
        <f t="shared" si="162"/>
        <v>60</v>
      </c>
      <c r="Z752" s="4">
        <f t="shared" si="172"/>
        <v>2666666.6666666665</v>
      </c>
      <c r="AA752" s="3">
        <f t="shared" si="172"/>
        <v>60</v>
      </c>
      <c r="AB752" t="str">
        <f t="shared" si="171"/>
        <v>28B0AA</v>
      </c>
    </row>
    <row r="753" spans="14:28">
      <c r="N753">
        <v>751</v>
      </c>
      <c r="O753">
        <f t="shared" si="164"/>
        <v>1510</v>
      </c>
      <c r="P753">
        <f t="shared" si="165"/>
        <v>7510</v>
      </c>
      <c r="Q753">
        <f t="shared" si="166"/>
        <v>0</v>
      </c>
      <c r="R753" s="4">
        <f t="shared" si="167"/>
        <v>0</v>
      </c>
      <c r="S753" s="3">
        <f t="shared" si="168"/>
        <v>0</v>
      </c>
      <c r="T753" t="str">
        <f t="shared" si="169"/>
        <v>0</v>
      </c>
      <c r="V753">
        <v>751</v>
      </c>
      <c r="W753">
        <f t="shared" si="161"/>
        <v>1210</v>
      </c>
      <c r="X753">
        <f t="shared" si="163"/>
        <v>7510</v>
      </c>
      <c r="Y753">
        <f t="shared" si="162"/>
        <v>60</v>
      </c>
      <c r="Z753" s="4">
        <f t="shared" si="172"/>
        <v>2666666.6666666665</v>
      </c>
      <c r="AA753" s="3">
        <f t="shared" si="172"/>
        <v>60</v>
      </c>
      <c r="AB753" t="str">
        <f t="shared" si="171"/>
        <v>28B0AA</v>
      </c>
    </row>
    <row r="754" spans="14:28">
      <c r="N754">
        <v>752</v>
      </c>
      <c r="O754">
        <f t="shared" si="164"/>
        <v>1520</v>
      </c>
      <c r="P754">
        <f t="shared" si="165"/>
        <v>7520</v>
      </c>
      <c r="Q754">
        <f t="shared" si="166"/>
        <v>0</v>
      </c>
      <c r="R754" s="4">
        <f t="shared" si="167"/>
        <v>0</v>
      </c>
      <c r="S754" s="3">
        <f t="shared" si="168"/>
        <v>0</v>
      </c>
      <c r="T754" t="str">
        <f t="shared" si="169"/>
        <v>0</v>
      </c>
      <c r="V754">
        <v>752</v>
      </c>
      <c r="W754">
        <f t="shared" si="161"/>
        <v>1220</v>
      </c>
      <c r="X754">
        <f t="shared" si="163"/>
        <v>7520</v>
      </c>
      <c r="Y754">
        <f t="shared" si="162"/>
        <v>60</v>
      </c>
      <c r="Z754" s="4">
        <f t="shared" si="172"/>
        <v>2666666.6666666665</v>
      </c>
      <c r="AA754" s="3">
        <f t="shared" si="172"/>
        <v>60</v>
      </c>
      <c r="AB754" t="str">
        <f t="shared" si="171"/>
        <v>28B0AA</v>
      </c>
    </row>
    <row r="755" spans="14:28">
      <c r="N755">
        <v>753</v>
      </c>
      <c r="O755">
        <f t="shared" si="164"/>
        <v>1530</v>
      </c>
      <c r="P755">
        <f t="shared" si="165"/>
        <v>7530</v>
      </c>
      <c r="Q755">
        <f t="shared" si="166"/>
        <v>0</v>
      </c>
      <c r="R755" s="4">
        <f t="shared" si="167"/>
        <v>0</v>
      </c>
      <c r="S755" s="3">
        <f t="shared" si="168"/>
        <v>0</v>
      </c>
      <c r="T755" t="str">
        <f t="shared" si="169"/>
        <v>0</v>
      </c>
      <c r="V755">
        <v>753</v>
      </c>
      <c r="W755">
        <f t="shared" si="161"/>
        <v>1230</v>
      </c>
      <c r="X755">
        <f t="shared" si="163"/>
        <v>7530</v>
      </c>
      <c r="Y755">
        <f t="shared" si="162"/>
        <v>60</v>
      </c>
      <c r="Z755" s="4">
        <f t="shared" si="172"/>
        <v>2666666.6666666665</v>
      </c>
      <c r="AA755" s="3">
        <f t="shared" si="172"/>
        <v>60</v>
      </c>
      <c r="AB755" t="str">
        <f t="shared" si="171"/>
        <v>28B0AA</v>
      </c>
    </row>
    <row r="756" spans="14:28">
      <c r="N756">
        <v>754</v>
      </c>
      <c r="O756">
        <f t="shared" si="164"/>
        <v>1540</v>
      </c>
      <c r="P756">
        <f t="shared" si="165"/>
        <v>7540</v>
      </c>
      <c r="Q756">
        <f t="shared" si="166"/>
        <v>0</v>
      </c>
      <c r="R756" s="4">
        <f t="shared" si="167"/>
        <v>0</v>
      </c>
      <c r="S756" s="3">
        <f t="shared" si="168"/>
        <v>0</v>
      </c>
      <c r="T756" t="str">
        <f t="shared" si="169"/>
        <v>0</v>
      </c>
      <c r="V756">
        <v>754</v>
      </c>
      <c r="W756">
        <f t="shared" si="161"/>
        <v>1240</v>
      </c>
      <c r="X756">
        <f t="shared" si="163"/>
        <v>7540</v>
      </c>
      <c r="Y756">
        <f t="shared" si="162"/>
        <v>60</v>
      </c>
      <c r="Z756" s="4">
        <f t="shared" si="172"/>
        <v>2666666.6666666665</v>
      </c>
      <c r="AA756" s="3">
        <f t="shared" si="172"/>
        <v>60</v>
      </c>
      <c r="AB756" t="str">
        <f t="shared" si="171"/>
        <v>28B0AA</v>
      </c>
    </row>
    <row r="757" spans="14:28">
      <c r="N757">
        <v>755</v>
      </c>
      <c r="O757">
        <f t="shared" si="164"/>
        <v>1550</v>
      </c>
      <c r="P757">
        <f t="shared" si="165"/>
        <v>7550</v>
      </c>
      <c r="Q757">
        <f t="shared" si="166"/>
        <v>0</v>
      </c>
      <c r="R757" s="4">
        <f t="shared" si="167"/>
        <v>0</v>
      </c>
      <c r="S757" s="3">
        <f t="shared" si="168"/>
        <v>0</v>
      </c>
      <c r="T757" t="str">
        <f t="shared" si="169"/>
        <v>0</v>
      </c>
      <c r="V757">
        <v>755</v>
      </c>
      <c r="W757">
        <f t="shared" si="161"/>
        <v>1250</v>
      </c>
      <c r="X757">
        <f t="shared" si="163"/>
        <v>7550</v>
      </c>
      <c r="Y757">
        <f t="shared" si="162"/>
        <v>60</v>
      </c>
      <c r="Z757" s="4">
        <f t="shared" si="172"/>
        <v>2666666.6666666665</v>
      </c>
      <c r="AA757" s="3">
        <f t="shared" si="172"/>
        <v>60</v>
      </c>
      <c r="AB757" t="str">
        <f t="shared" si="171"/>
        <v>28B0AA</v>
      </c>
    </row>
    <row r="758" spans="14:28">
      <c r="N758">
        <v>756</v>
      </c>
      <c r="O758">
        <f t="shared" si="164"/>
        <v>1560</v>
      </c>
      <c r="P758">
        <f t="shared" si="165"/>
        <v>7560</v>
      </c>
      <c r="Q758">
        <f t="shared" si="166"/>
        <v>0</v>
      </c>
      <c r="R758" s="4">
        <f t="shared" si="167"/>
        <v>0</v>
      </c>
      <c r="S758" s="3">
        <f t="shared" si="168"/>
        <v>0</v>
      </c>
      <c r="T758" t="str">
        <f t="shared" si="169"/>
        <v>0</v>
      </c>
      <c r="V758">
        <v>756</v>
      </c>
      <c r="W758">
        <f t="shared" si="161"/>
        <v>1260</v>
      </c>
      <c r="X758">
        <f t="shared" si="163"/>
        <v>7560</v>
      </c>
      <c r="Y758">
        <f t="shared" si="162"/>
        <v>60</v>
      </c>
      <c r="Z758" s="4">
        <f t="shared" si="172"/>
        <v>2666666.6666666665</v>
      </c>
      <c r="AA758" s="3">
        <f t="shared" si="172"/>
        <v>60</v>
      </c>
      <c r="AB758" t="str">
        <f t="shared" si="171"/>
        <v>28B0AA</v>
      </c>
    </row>
    <row r="759" spans="14:28">
      <c r="N759">
        <v>757</v>
      </c>
      <c r="O759">
        <f t="shared" si="164"/>
        <v>1570</v>
      </c>
      <c r="P759">
        <f t="shared" si="165"/>
        <v>7570</v>
      </c>
      <c r="Q759">
        <f t="shared" si="166"/>
        <v>0</v>
      </c>
      <c r="R759" s="4">
        <f t="shared" si="167"/>
        <v>0</v>
      </c>
      <c r="S759" s="3">
        <f t="shared" si="168"/>
        <v>0</v>
      </c>
      <c r="T759" t="str">
        <f t="shared" si="169"/>
        <v>0</v>
      </c>
      <c r="V759">
        <v>757</v>
      </c>
      <c r="W759">
        <f t="shared" si="161"/>
        <v>1270</v>
      </c>
      <c r="X759">
        <f t="shared" si="163"/>
        <v>7570</v>
      </c>
      <c r="Y759">
        <f t="shared" si="162"/>
        <v>60</v>
      </c>
      <c r="Z759" s="4">
        <f t="shared" ref="Z759:AA778" si="173">IFERROR(160*1000*1000/Y759,0)</f>
        <v>2666666.6666666665</v>
      </c>
      <c r="AA759" s="3">
        <f t="shared" si="173"/>
        <v>60</v>
      </c>
      <c r="AB759" t="str">
        <f t="shared" si="171"/>
        <v>28B0AA</v>
      </c>
    </row>
    <row r="760" spans="14:28">
      <c r="N760">
        <v>758</v>
      </c>
      <c r="O760">
        <f t="shared" si="164"/>
        <v>1580</v>
      </c>
      <c r="P760">
        <f t="shared" si="165"/>
        <v>7580</v>
      </c>
      <c r="Q760">
        <f t="shared" si="166"/>
        <v>0</v>
      </c>
      <c r="R760" s="4">
        <f t="shared" si="167"/>
        <v>0</v>
      </c>
      <c r="S760" s="3">
        <f t="shared" si="168"/>
        <v>0</v>
      </c>
      <c r="T760" t="str">
        <f t="shared" si="169"/>
        <v>0</v>
      </c>
      <c r="V760">
        <v>758</v>
      </c>
      <c r="W760">
        <f t="shared" si="161"/>
        <v>1280</v>
      </c>
      <c r="X760">
        <f t="shared" si="163"/>
        <v>7580</v>
      </c>
      <c r="Y760">
        <f t="shared" si="162"/>
        <v>60</v>
      </c>
      <c r="Z760" s="4">
        <f t="shared" si="173"/>
        <v>2666666.6666666665</v>
      </c>
      <c r="AA760" s="3">
        <f t="shared" si="173"/>
        <v>60</v>
      </c>
      <c r="AB760" t="str">
        <f t="shared" si="171"/>
        <v>28B0AA</v>
      </c>
    </row>
    <row r="761" spans="14:28">
      <c r="N761">
        <v>759</v>
      </c>
      <c r="O761">
        <f t="shared" si="164"/>
        <v>1590</v>
      </c>
      <c r="P761">
        <f t="shared" si="165"/>
        <v>7590</v>
      </c>
      <c r="Q761">
        <f t="shared" si="166"/>
        <v>0</v>
      </c>
      <c r="R761" s="4">
        <f t="shared" si="167"/>
        <v>0</v>
      </c>
      <c r="S761" s="3">
        <f t="shared" si="168"/>
        <v>0</v>
      </c>
      <c r="T761" t="str">
        <f t="shared" si="169"/>
        <v>0</v>
      </c>
      <c r="V761">
        <v>759</v>
      </c>
      <c r="W761">
        <f t="shared" si="161"/>
        <v>1290</v>
      </c>
      <c r="X761">
        <f t="shared" si="163"/>
        <v>7590</v>
      </c>
      <c r="Y761">
        <f t="shared" si="162"/>
        <v>60</v>
      </c>
      <c r="Z761" s="4">
        <f t="shared" si="173"/>
        <v>2666666.6666666665</v>
      </c>
      <c r="AA761" s="3">
        <f t="shared" si="173"/>
        <v>60</v>
      </c>
      <c r="AB761" t="str">
        <f t="shared" si="171"/>
        <v>28B0AA</v>
      </c>
    </row>
    <row r="762" spans="14:28">
      <c r="N762">
        <v>760</v>
      </c>
      <c r="O762">
        <f t="shared" si="164"/>
        <v>1600</v>
      </c>
      <c r="P762">
        <f t="shared" si="165"/>
        <v>7600</v>
      </c>
      <c r="Q762">
        <f t="shared" si="166"/>
        <v>0</v>
      </c>
      <c r="R762" s="4">
        <f t="shared" si="167"/>
        <v>0</v>
      </c>
      <c r="S762" s="3">
        <f t="shared" si="168"/>
        <v>0</v>
      </c>
      <c r="T762" t="str">
        <f t="shared" si="169"/>
        <v>0</v>
      </c>
      <c r="V762">
        <v>760</v>
      </c>
      <c r="W762">
        <f t="shared" si="161"/>
        <v>1300</v>
      </c>
      <c r="X762">
        <f t="shared" si="163"/>
        <v>7600</v>
      </c>
      <c r="Y762">
        <f t="shared" si="162"/>
        <v>60</v>
      </c>
      <c r="Z762" s="4">
        <f t="shared" si="173"/>
        <v>2666666.6666666665</v>
      </c>
      <c r="AA762" s="3">
        <f t="shared" si="173"/>
        <v>60</v>
      </c>
      <c r="AB762" t="str">
        <f t="shared" si="171"/>
        <v>28B0AA</v>
      </c>
    </row>
    <row r="763" spans="14:28">
      <c r="N763">
        <v>761</v>
      </c>
      <c r="O763">
        <f t="shared" si="164"/>
        <v>1610</v>
      </c>
      <c r="P763">
        <f t="shared" si="165"/>
        <v>7610</v>
      </c>
      <c r="Q763">
        <f t="shared" si="166"/>
        <v>0</v>
      </c>
      <c r="R763" s="4">
        <f t="shared" si="167"/>
        <v>0</v>
      </c>
      <c r="S763" s="3">
        <f t="shared" si="168"/>
        <v>0</v>
      </c>
      <c r="T763" t="str">
        <f t="shared" si="169"/>
        <v>0</v>
      </c>
      <c r="V763">
        <v>761</v>
      </c>
      <c r="W763">
        <f t="shared" si="161"/>
        <v>1310</v>
      </c>
      <c r="X763">
        <f t="shared" si="163"/>
        <v>7610</v>
      </c>
      <c r="Y763">
        <f t="shared" si="162"/>
        <v>60</v>
      </c>
      <c r="Z763" s="4">
        <f t="shared" si="173"/>
        <v>2666666.6666666665</v>
      </c>
      <c r="AA763" s="3">
        <f t="shared" si="173"/>
        <v>60</v>
      </c>
      <c r="AB763" t="str">
        <f t="shared" si="171"/>
        <v>28B0AA</v>
      </c>
    </row>
    <row r="764" spans="14:28">
      <c r="N764">
        <v>762</v>
      </c>
      <c r="O764">
        <f t="shared" si="164"/>
        <v>1620</v>
      </c>
      <c r="P764">
        <f t="shared" si="165"/>
        <v>7620</v>
      </c>
      <c r="Q764">
        <f t="shared" si="166"/>
        <v>0</v>
      </c>
      <c r="R764" s="4">
        <f t="shared" si="167"/>
        <v>0</v>
      </c>
      <c r="S764" s="3">
        <f t="shared" si="168"/>
        <v>0</v>
      </c>
      <c r="T764" t="str">
        <f t="shared" si="169"/>
        <v>0</v>
      </c>
      <c r="V764">
        <v>762</v>
      </c>
      <c r="W764">
        <f t="shared" si="161"/>
        <v>1320</v>
      </c>
      <c r="X764">
        <f t="shared" si="163"/>
        <v>7620</v>
      </c>
      <c r="Y764">
        <f t="shared" si="162"/>
        <v>60</v>
      </c>
      <c r="Z764" s="4">
        <f t="shared" si="173"/>
        <v>2666666.6666666665</v>
      </c>
      <c r="AA764" s="3">
        <f t="shared" si="173"/>
        <v>60</v>
      </c>
      <c r="AB764" t="str">
        <f t="shared" si="171"/>
        <v>28B0AA</v>
      </c>
    </row>
    <row r="765" spans="14:28">
      <c r="N765">
        <v>763</v>
      </c>
      <c r="O765">
        <f t="shared" si="164"/>
        <v>1630</v>
      </c>
      <c r="P765">
        <f t="shared" si="165"/>
        <v>7630</v>
      </c>
      <c r="Q765">
        <f t="shared" si="166"/>
        <v>0</v>
      </c>
      <c r="R765" s="4">
        <f t="shared" si="167"/>
        <v>0</v>
      </c>
      <c r="S765" s="3">
        <f t="shared" si="168"/>
        <v>0</v>
      </c>
      <c r="T765" t="str">
        <f t="shared" si="169"/>
        <v>0</v>
      </c>
      <c r="V765">
        <v>763</v>
      </c>
      <c r="W765">
        <f t="shared" si="161"/>
        <v>1330</v>
      </c>
      <c r="X765">
        <f t="shared" si="163"/>
        <v>7630</v>
      </c>
      <c r="Y765">
        <f t="shared" si="162"/>
        <v>60</v>
      </c>
      <c r="Z765" s="4">
        <f t="shared" si="173"/>
        <v>2666666.6666666665</v>
      </c>
      <c r="AA765" s="3">
        <f t="shared" si="173"/>
        <v>60</v>
      </c>
      <c r="AB765" t="str">
        <f t="shared" si="171"/>
        <v>28B0AA</v>
      </c>
    </row>
    <row r="766" spans="14:28">
      <c r="N766">
        <v>764</v>
      </c>
      <c r="O766">
        <f t="shared" si="164"/>
        <v>1640</v>
      </c>
      <c r="P766">
        <f t="shared" si="165"/>
        <v>7640</v>
      </c>
      <c r="Q766">
        <f t="shared" si="166"/>
        <v>0</v>
      </c>
      <c r="R766" s="4">
        <f t="shared" si="167"/>
        <v>0</v>
      </c>
      <c r="S766" s="3">
        <f t="shared" si="168"/>
        <v>0</v>
      </c>
      <c r="T766" t="str">
        <f t="shared" si="169"/>
        <v>0</v>
      </c>
      <c r="V766">
        <v>764</v>
      </c>
      <c r="W766">
        <f t="shared" si="161"/>
        <v>1340</v>
      </c>
      <c r="X766">
        <f t="shared" si="163"/>
        <v>7640</v>
      </c>
      <c r="Y766">
        <f t="shared" si="162"/>
        <v>60</v>
      </c>
      <c r="Z766" s="4">
        <f t="shared" si="173"/>
        <v>2666666.6666666665</v>
      </c>
      <c r="AA766" s="3">
        <f t="shared" si="173"/>
        <v>60</v>
      </c>
      <c r="AB766" t="str">
        <f t="shared" si="171"/>
        <v>28B0AA</v>
      </c>
    </row>
    <row r="767" spans="14:28">
      <c r="N767">
        <v>765</v>
      </c>
      <c r="O767">
        <f t="shared" si="164"/>
        <v>1650</v>
      </c>
      <c r="P767">
        <f t="shared" si="165"/>
        <v>7650</v>
      </c>
      <c r="Q767">
        <f t="shared" si="166"/>
        <v>0</v>
      </c>
      <c r="R767" s="4">
        <f t="shared" si="167"/>
        <v>0</v>
      </c>
      <c r="S767" s="3">
        <f t="shared" si="168"/>
        <v>0</v>
      </c>
      <c r="T767" t="str">
        <f t="shared" si="169"/>
        <v>0</v>
      </c>
      <c r="V767">
        <v>765</v>
      </c>
      <c r="W767">
        <f t="shared" ref="W767:W830" si="174">MOD(X767,$A$14+$A$15)</f>
        <v>1350</v>
      </c>
      <c r="X767">
        <f t="shared" si="163"/>
        <v>7650</v>
      </c>
      <c r="Y767">
        <f t="shared" ref="Y767:Y830" si="175">IF(W767&gt;$A$14,0,IF(W767&lt;$A$13,W767/($A$13)*($A$11-$A$12)+$A$12,IF($A$14-W767&lt;$A$13,($A$14-W767)/($A$13)*($A$11-$A$12)+$A$12,$A$11)))</f>
        <v>60</v>
      </c>
      <c r="Z767" s="4">
        <f t="shared" si="173"/>
        <v>2666666.6666666665</v>
      </c>
      <c r="AA767" s="3">
        <f t="shared" si="173"/>
        <v>60</v>
      </c>
      <c r="AB767" t="str">
        <f t="shared" si="171"/>
        <v>28B0AA</v>
      </c>
    </row>
    <row r="768" spans="14:28">
      <c r="N768">
        <v>766</v>
      </c>
      <c r="O768">
        <f t="shared" si="164"/>
        <v>1660</v>
      </c>
      <c r="P768">
        <f t="shared" si="165"/>
        <v>7660</v>
      </c>
      <c r="Q768">
        <f t="shared" si="166"/>
        <v>0</v>
      </c>
      <c r="R768" s="4">
        <f t="shared" si="167"/>
        <v>0</v>
      </c>
      <c r="S768" s="3">
        <f t="shared" si="168"/>
        <v>0</v>
      </c>
      <c r="T768" t="str">
        <f t="shared" si="169"/>
        <v>0</v>
      </c>
      <c r="V768">
        <v>766</v>
      </c>
      <c r="W768">
        <f t="shared" si="174"/>
        <v>1360</v>
      </c>
      <c r="X768">
        <f t="shared" ref="X768:X831" si="176">V768*10</f>
        <v>7660</v>
      </c>
      <c r="Y768">
        <f t="shared" si="175"/>
        <v>60</v>
      </c>
      <c r="Z768" s="4">
        <f t="shared" si="173"/>
        <v>2666666.6666666665</v>
      </c>
      <c r="AA768" s="3">
        <f t="shared" si="173"/>
        <v>60</v>
      </c>
      <c r="AB768" t="str">
        <f t="shared" si="171"/>
        <v>28B0AA</v>
      </c>
    </row>
    <row r="769" spans="14:28">
      <c r="N769">
        <v>767</v>
      </c>
      <c r="O769">
        <f t="shared" si="164"/>
        <v>1670</v>
      </c>
      <c r="P769">
        <f t="shared" si="165"/>
        <v>7670</v>
      </c>
      <c r="Q769">
        <f t="shared" si="166"/>
        <v>0</v>
      </c>
      <c r="R769" s="4">
        <f t="shared" si="167"/>
        <v>0</v>
      </c>
      <c r="S769" s="3">
        <f t="shared" si="168"/>
        <v>0</v>
      </c>
      <c r="T769" t="str">
        <f t="shared" si="169"/>
        <v>0</v>
      </c>
      <c r="V769">
        <v>767</v>
      </c>
      <c r="W769">
        <f t="shared" si="174"/>
        <v>1370</v>
      </c>
      <c r="X769">
        <f t="shared" si="176"/>
        <v>7670</v>
      </c>
      <c r="Y769">
        <f t="shared" si="175"/>
        <v>60</v>
      </c>
      <c r="Z769" s="4">
        <f t="shared" si="173"/>
        <v>2666666.6666666665</v>
      </c>
      <c r="AA769" s="3">
        <f t="shared" si="173"/>
        <v>60</v>
      </c>
      <c r="AB769" t="str">
        <f t="shared" si="171"/>
        <v>28B0AA</v>
      </c>
    </row>
    <row r="770" spans="14:28">
      <c r="N770">
        <v>768</v>
      </c>
      <c r="O770">
        <f t="shared" si="164"/>
        <v>1680</v>
      </c>
      <c r="P770">
        <f t="shared" si="165"/>
        <v>7680</v>
      </c>
      <c r="Q770">
        <f t="shared" si="166"/>
        <v>0</v>
      </c>
      <c r="R770" s="4">
        <f t="shared" si="167"/>
        <v>0</v>
      </c>
      <c r="S770" s="3">
        <f t="shared" si="168"/>
        <v>0</v>
      </c>
      <c r="T770" t="str">
        <f t="shared" si="169"/>
        <v>0</v>
      </c>
      <c r="V770">
        <v>768</v>
      </c>
      <c r="W770">
        <f t="shared" si="174"/>
        <v>1380</v>
      </c>
      <c r="X770">
        <f t="shared" si="176"/>
        <v>7680</v>
      </c>
      <c r="Y770">
        <f t="shared" si="175"/>
        <v>60</v>
      </c>
      <c r="Z770" s="4">
        <f t="shared" si="173"/>
        <v>2666666.6666666665</v>
      </c>
      <c r="AA770" s="3">
        <f t="shared" si="173"/>
        <v>60</v>
      </c>
      <c r="AB770" t="str">
        <f t="shared" si="171"/>
        <v>28B0AA</v>
      </c>
    </row>
    <row r="771" spans="14:28">
      <c r="N771">
        <v>769</v>
      </c>
      <c r="O771">
        <f t="shared" ref="O771:O834" si="177">MOD(P771,$A$5+$A$6)</f>
        <v>1690</v>
      </c>
      <c r="P771">
        <f t="shared" si="165"/>
        <v>7690</v>
      </c>
      <c r="Q771">
        <f t="shared" si="166"/>
        <v>0</v>
      </c>
      <c r="R771" s="4">
        <f t="shared" si="167"/>
        <v>0</v>
      </c>
      <c r="S771" s="3">
        <f t="shared" si="168"/>
        <v>0</v>
      </c>
      <c r="T771" t="str">
        <f t="shared" si="169"/>
        <v>0</v>
      </c>
      <c r="V771">
        <v>769</v>
      </c>
      <c r="W771">
        <f t="shared" si="174"/>
        <v>1390</v>
      </c>
      <c r="X771">
        <f t="shared" si="176"/>
        <v>7690</v>
      </c>
      <c r="Y771">
        <f t="shared" si="175"/>
        <v>60</v>
      </c>
      <c r="Z771" s="4">
        <f t="shared" si="173"/>
        <v>2666666.6666666665</v>
      </c>
      <c r="AA771" s="3">
        <f t="shared" si="173"/>
        <v>60</v>
      </c>
      <c r="AB771" t="str">
        <f t="shared" si="171"/>
        <v>28B0AA</v>
      </c>
    </row>
    <row r="772" spans="14:28">
      <c r="N772">
        <v>770</v>
      </c>
      <c r="O772">
        <f t="shared" si="177"/>
        <v>1700</v>
      </c>
      <c r="P772">
        <f t="shared" si="165"/>
        <v>7700</v>
      </c>
      <c r="Q772">
        <f t="shared" si="166"/>
        <v>0</v>
      </c>
      <c r="R772" s="4">
        <f t="shared" si="167"/>
        <v>0</v>
      </c>
      <c r="S772" s="3">
        <f t="shared" si="168"/>
        <v>0</v>
      </c>
      <c r="T772" t="str">
        <f t="shared" si="169"/>
        <v>0</v>
      </c>
      <c r="V772">
        <v>770</v>
      </c>
      <c r="W772">
        <f t="shared" si="174"/>
        <v>1400</v>
      </c>
      <c r="X772">
        <f t="shared" si="176"/>
        <v>7700</v>
      </c>
      <c r="Y772">
        <f t="shared" si="175"/>
        <v>60</v>
      </c>
      <c r="Z772" s="4">
        <f t="shared" si="173"/>
        <v>2666666.6666666665</v>
      </c>
      <c r="AA772" s="3">
        <f t="shared" si="173"/>
        <v>60</v>
      </c>
      <c r="AB772" t="str">
        <f t="shared" si="171"/>
        <v>28B0AA</v>
      </c>
    </row>
    <row r="773" spans="14:28">
      <c r="N773">
        <v>771</v>
      </c>
      <c r="O773">
        <f t="shared" si="177"/>
        <v>1710</v>
      </c>
      <c r="P773">
        <f t="shared" si="165"/>
        <v>7710</v>
      </c>
      <c r="Q773">
        <f t="shared" si="166"/>
        <v>0</v>
      </c>
      <c r="R773" s="4">
        <f t="shared" si="167"/>
        <v>0</v>
      </c>
      <c r="S773" s="3">
        <f t="shared" si="168"/>
        <v>0</v>
      </c>
      <c r="T773" t="str">
        <f t="shared" si="169"/>
        <v>0</v>
      </c>
      <c r="V773">
        <v>771</v>
      </c>
      <c r="W773">
        <f t="shared" si="174"/>
        <v>1410</v>
      </c>
      <c r="X773">
        <f t="shared" si="176"/>
        <v>7710</v>
      </c>
      <c r="Y773">
        <f t="shared" si="175"/>
        <v>60</v>
      </c>
      <c r="Z773" s="4">
        <f t="shared" si="173"/>
        <v>2666666.6666666665</v>
      </c>
      <c r="AA773" s="3">
        <f t="shared" si="173"/>
        <v>60</v>
      </c>
      <c r="AB773" t="str">
        <f t="shared" si="171"/>
        <v>28B0AA</v>
      </c>
    </row>
    <row r="774" spans="14:28">
      <c r="N774">
        <v>772</v>
      </c>
      <c r="O774">
        <f t="shared" si="177"/>
        <v>1720</v>
      </c>
      <c r="P774">
        <f t="shared" si="165"/>
        <v>7720</v>
      </c>
      <c r="Q774">
        <f t="shared" si="166"/>
        <v>0</v>
      </c>
      <c r="R774" s="4">
        <f t="shared" si="167"/>
        <v>0</v>
      </c>
      <c r="S774" s="3">
        <f t="shared" si="168"/>
        <v>0</v>
      </c>
      <c r="T774" t="str">
        <f t="shared" si="169"/>
        <v>0</v>
      </c>
      <c r="V774">
        <v>772</v>
      </c>
      <c r="W774">
        <f t="shared" si="174"/>
        <v>1420</v>
      </c>
      <c r="X774">
        <f t="shared" si="176"/>
        <v>7720</v>
      </c>
      <c r="Y774">
        <f t="shared" si="175"/>
        <v>60</v>
      </c>
      <c r="Z774" s="4">
        <f t="shared" si="173"/>
        <v>2666666.6666666665</v>
      </c>
      <c r="AA774" s="3">
        <f t="shared" si="173"/>
        <v>60</v>
      </c>
      <c r="AB774" t="str">
        <f t="shared" si="171"/>
        <v>28B0AA</v>
      </c>
    </row>
    <row r="775" spans="14:28">
      <c r="N775">
        <v>773</v>
      </c>
      <c r="O775">
        <f t="shared" si="177"/>
        <v>1730</v>
      </c>
      <c r="P775">
        <f t="shared" si="165"/>
        <v>7730</v>
      </c>
      <c r="Q775">
        <f t="shared" si="166"/>
        <v>0</v>
      </c>
      <c r="R775" s="4">
        <f t="shared" si="167"/>
        <v>0</v>
      </c>
      <c r="S775" s="3">
        <f t="shared" si="168"/>
        <v>0</v>
      </c>
      <c r="T775" t="str">
        <f t="shared" si="169"/>
        <v>0</v>
      </c>
      <c r="V775">
        <v>773</v>
      </c>
      <c r="W775">
        <f t="shared" si="174"/>
        <v>1430</v>
      </c>
      <c r="X775">
        <f t="shared" si="176"/>
        <v>7730</v>
      </c>
      <c r="Y775">
        <f t="shared" si="175"/>
        <v>60</v>
      </c>
      <c r="Z775" s="4">
        <f t="shared" si="173"/>
        <v>2666666.6666666665</v>
      </c>
      <c r="AA775" s="3">
        <f t="shared" si="173"/>
        <v>60</v>
      </c>
      <c r="AB775" t="str">
        <f t="shared" si="171"/>
        <v>28B0AA</v>
      </c>
    </row>
    <row r="776" spans="14:28">
      <c r="N776">
        <v>774</v>
      </c>
      <c r="O776">
        <f t="shared" si="177"/>
        <v>1740</v>
      </c>
      <c r="P776">
        <f t="shared" si="165"/>
        <v>7740</v>
      </c>
      <c r="Q776">
        <f t="shared" si="166"/>
        <v>0</v>
      </c>
      <c r="R776" s="4">
        <f t="shared" si="167"/>
        <v>0</v>
      </c>
      <c r="S776" s="3">
        <f t="shared" si="168"/>
        <v>0</v>
      </c>
      <c r="T776" t="str">
        <f t="shared" si="169"/>
        <v>0</v>
      </c>
      <c r="V776">
        <v>774</v>
      </c>
      <c r="W776">
        <f t="shared" si="174"/>
        <v>1440</v>
      </c>
      <c r="X776">
        <f t="shared" si="176"/>
        <v>7740</v>
      </c>
      <c r="Y776">
        <f t="shared" si="175"/>
        <v>60</v>
      </c>
      <c r="Z776" s="4">
        <f t="shared" si="173"/>
        <v>2666666.6666666665</v>
      </c>
      <c r="AA776" s="3">
        <f t="shared" si="173"/>
        <v>60</v>
      </c>
      <c r="AB776" t="str">
        <f t="shared" si="171"/>
        <v>28B0AA</v>
      </c>
    </row>
    <row r="777" spans="14:28">
      <c r="N777">
        <v>775</v>
      </c>
      <c r="O777">
        <f t="shared" si="177"/>
        <v>1750</v>
      </c>
      <c r="P777">
        <f t="shared" si="165"/>
        <v>7750</v>
      </c>
      <c r="Q777">
        <f t="shared" si="166"/>
        <v>0</v>
      </c>
      <c r="R777" s="4">
        <f t="shared" si="167"/>
        <v>0</v>
      </c>
      <c r="S777" s="3">
        <f t="shared" si="168"/>
        <v>0</v>
      </c>
      <c r="T777" t="str">
        <f t="shared" si="169"/>
        <v>0</v>
      </c>
      <c r="V777">
        <v>775</v>
      </c>
      <c r="W777">
        <f t="shared" si="174"/>
        <v>1450</v>
      </c>
      <c r="X777">
        <f t="shared" si="176"/>
        <v>7750</v>
      </c>
      <c r="Y777">
        <f t="shared" si="175"/>
        <v>60</v>
      </c>
      <c r="Z777" s="4">
        <f t="shared" si="173"/>
        <v>2666666.6666666665</v>
      </c>
      <c r="AA777" s="3">
        <f t="shared" si="173"/>
        <v>60</v>
      </c>
      <c r="AB777" t="str">
        <f t="shared" si="171"/>
        <v>28B0AA</v>
      </c>
    </row>
    <row r="778" spans="14:28">
      <c r="N778">
        <v>776</v>
      </c>
      <c r="O778">
        <f t="shared" si="177"/>
        <v>1760</v>
      </c>
      <c r="P778">
        <f t="shared" si="165"/>
        <v>7760</v>
      </c>
      <c r="Q778">
        <f t="shared" si="166"/>
        <v>0</v>
      </c>
      <c r="R778" s="4">
        <f t="shared" si="167"/>
        <v>0</v>
      </c>
      <c r="S778" s="3">
        <f t="shared" si="168"/>
        <v>0</v>
      </c>
      <c r="T778" t="str">
        <f t="shared" si="169"/>
        <v>0</v>
      </c>
      <c r="V778">
        <v>776</v>
      </c>
      <c r="W778">
        <f t="shared" si="174"/>
        <v>1460</v>
      </c>
      <c r="X778">
        <f t="shared" si="176"/>
        <v>7760</v>
      </c>
      <c r="Y778">
        <f t="shared" si="175"/>
        <v>60</v>
      </c>
      <c r="Z778" s="4">
        <f t="shared" si="173"/>
        <v>2666666.6666666665</v>
      </c>
      <c r="AA778" s="3">
        <f t="shared" si="173"/>
        <v>60</v>
      </c>
      <c r="AB778" t="str">
        <f t="shared" si="171"/>
        <v>28B0AA</v>
      </c>
    </row>
    <row r="779" spans="14:28">
      <c r="N779">
        <v>777</v>
      </c>
      <c r="O779">
        <f t="shared" si="177"/>
        <v>1770</v>
      </c>
      <c r="P779">
        <f t="shared" ref="P779:P842" si="178">N779*10</f>
        <v>7770</v>
      </c>
      <c r="Q779">
        <f t="shared" ref="Q779:Q842" si="179">IF(O779&gt;$A$5,0,IF(O779&lt;$A$4,O779/($A$4)*($A$2-$A$3)+$A$3,IF($A$5-O779&lt;$A$4,($A$5-O779)/($A$4)*($A$2-$A$3)+$A$3,$A$2)))</f>
        <v>0</v>
      </c>
      <c r="R779" s="4">
        <f t="shared" ref="R779:R842" si="180">IFERROR(160*1000*1000/Q779,0)</f>
        <v>0</v>
      </c>
      <c r="S779" s="3">
        <f t="shared" ref="S779:S842" si="181">IFERROR(160*1000*1000/R779,0)</f>
        <v>0</v>
      </c>
      <c r="T779" t="str">
        <f t="shared" ref="T779:T842" si="182">DEC2HEX(R779)</f>
        <v>0</v>
      </c>
      <c r="V779">
        <v>777</v>
      </c>
      <c r="W779">
        <f t="shared" si="174"/>
        <v>1470</v>
      </c>
      <c r="X779">
        <f t="shared" si="176"/>
        <v>7770</v>
      </c>
      <c r="Y779">
        <f t="shared" si="175"/>
        <v>60</v>
      </c>
      <c r="Z779" s="4">
        <f t="shared" ref="Z779:AA798" si="183">IFERROR(160*1000*1000/Y779,0)</f>
        <v>2666666.6666666665</v>
      </c>
      <c r="AA779" s="3">
        <f t="shared" si="183"/>
        <v>60</v>
      </c>
      <c r="AB779" t="str">
        <f t="shared" si="171"/>
        <v>28B0AA</v>
      </c>
    </row>
    <row r="780" spans="14:28">
      <c r="N780">
        <v>778</v>
      </c>
      <c r="O780">
        <f t="shared" si="177"/>
        <v>1780</v>
      </c>
      <c r="P780">
        <f t="shared" si="178"/>
        <v>7780</v>
      </c>
      <c r="Q780">
        <f t="shared" si="179"/>
        <v>0</v>
      </c>
      <c r="R780" s="4">
        <f t="shared" si="180"/>
        <v>0</v>
      </c>
      <c r="S780" s="3">
        <f t="shared" si="181"/>
        <v>0</v>
      </c>
      <c r="T780" t="str">
        <f t="shared" si="182"/>
        <v>0</v>
      </c>
      <c r="V780">
        <v>778</v>
      </c>
      <c r="W780">
        <f t="shared" si="174"/>
        <v>1480</v>
      </c>
      <c r="X780">
        <f t="shared" si="176"/>
        <v>7780</v>
      </c>
      <c r="Y780">
        <f t="shared" si="175"/>
        <v>60</v>
      </c>
      <c r="Z780" s="4">
        <f t="shared" si="183"/>
        <v>2666666.6666666665</v>
      </c>
      <c r="AA780" s="3">
        <f t="shared" si="183"/>
        <v>60</v>
      </c>
      <c r="AB780" t="str">
        <f t="shared" si="171"/>
        <v>28B0AA</v>
      </c>
    </row>
    <row r="781" spans="14:28">
      <c r="N781">
        <v>779</v>
      </c>
      <c r="O781">
        <f t="shared" si="177"/>
        <v>1790</v>
      </c>
      <c r="P781">
        <f t="shared" si="178"/>
        <v>7790</v>
      </c>
      <c r="Q781">
        <f t="shared" si="179"/>
        <v>0</v>
      </c>
      <c r="R781" s="4">
        <f t="shared" si="180"/>
        <v>0</v>
      </c>
      <c r="S781" s="3">
        <f t="shared" si="181"/>
        <v>0</v>
      </c>
      <c r="T781" t="str">
        <f t="shared" si="182"/>
        <v>0</v>
      </c>
      <c r="V781">
        <v>779</v>
      </c>
      <c r="W781">
        <f t="shared" si="174"/>
        <v>1490</v>
      </c>
      <c r="X781">
        <f t="shared" si="176"/>
        <v>7790</v>
      </c>
      <c r="Y781">
        <f t="shared" si="175"/>
        <v>60</v>
      </c>
      <c r="Z781" s="4">
        <f t="shared" si="183"/>
        <v>2666666.6666666665</v>
      </c>
      <c r="AA781" s="3">
        <f t="shared" si="183"/>
        <v>60</v>
      </c>
      <c r="AB781" t="str">
        <f t="shared" si="171"/>
        <v>28B0AA</v>
      </c>
    </row>
    <row r="782" spans="14:28">
      <c r="N782">
        <v>780</v>
      </c>
      <c r="O782">
        <f t="shared" si="177"/>
        <v>1800</v>
      </c>
      <c r="P782">
        <f t="shared" si="178"/>
        <v>7800</v>
      </c>
      <c r="Q782">
        <f t="shared" si="179"/>
        <v>0</v>
      </c>
      <c r="R782" s="4">
        <f t="shared" si="180"/>
        <v>0</v>
      </c>
      <c r="S782" s="3">
        <f t="shared" si="181"/>
        <v>0</v>
      </c>
      <c r="T782" t="str">
        <f t="shared" si="182"/>
        <v>0</v>
      </c>
      <c r="V782">
        <v>780</v>
      </c>
      <c r="W782">
        <f t="shared" si="174"/>
        <v>1500</v>
      </c>
      <c r="X782">
        <f t="shared" si="176"/>
        <v>7800</v>
      </c>
      <c r="Y782">
        <f t="shared" si="175"/>
        <v>60</v>
      </c>
      <c r="Z782" s="4">
        <f t="shared" si="183"/>
        <v>2666666.6666666665</v>
      </c>
      <c r="AA782" s="3">
        <f t="shared" si="183"/>
        <v>60</v>
      </c>
      <c r="AB782" t="str">
        <f t="shared" si="171"/>
        <v>28B0AA</v>
      </c>
    </row>
    <row r="783" spans="14:28">
      <c r="N783">
        <v>781</v>
      </c>
      <c r="O783">
        <f t="shared" si="177"/>
        <v>1810</v>
      </c>
      <c r="P783">
        <f t="shared" si="178"/>
        <v>7810</v>
      </c>
      <c r="Q783">
        <f t="shared" si="179"/>
        <v>0</v>
      </c>
      <c r="R783" s="4">
        <f t="shared" si="180"/>
        <v>0</v>
      </c>
      <c r="S783" s="3">
        <f t="shared" si="181"/>
        <v>0</v>
      </c>
      <c r="T783" t="str">
        <f t="shared" si="182"/>
        <v>0</v>
      </c>
      <c r="V783">
        <v>781</v>
      </c>
      <c r="W783">
        <f t="shared" si="174"/>
        <v>1510</v>
      </c>
      <c r="X783">
        <f t="shared" si="176"/>
        <v>7810</v>
      </c>
      <c r="Y783">
        <f t="shared" si="175"/>
        <v>60</v>
      </c>
      <c r="Z783" s="4">
        <f t="shared" si="183"/>
        <v>2666666.6666666665</v>
      </c>
      <c r="AA783" s="3">
        <f t="shared" si="183"/>
        <v>60</v>
      </c>
      <c r="AB783" t="str">
        <f t="shared" si="171"/>
        <v>28B0AA</v>
      </c>
    </row>
    <row r="784" spans="14:28">
      <c r="N784">
        <v>782</v>
      </c>
      <c r="O784">
        <f t="shared" si="177"/>
        <v>1820</v>
      </c>
      <c r="P784">
        <f t="shared" si="178"/>
        <v>7820</v>
      </c>
      <c r="Q784">
        <f t="shared" si="179"/>
        <v>0</v>
      </c>
      <c r="R784" s="4">
        <f t="shared" si="180"/>
        <v>0</v>
      </c>
      <c r="S784" s="3">
        <f t="shared" si="181"/>
        <v>0</v>
      </c>
      <c r="T784" t="str">
        <f t="shared" si="182"/>
        <v>0</v>
      </c>
      <c r="V784">
        <v>782</v>
      </c>
      <c r="W784">
        <f t="shared" si="174"/>
        <v>1520</v>
      </c>
      <c r="X784">
        <f t="shared" si="176"/>
        <v>7820</v>
      </c>
      <c r="Y784">
        <f t="shared" si="175"/>
        <v>60</v>
      </c>
      <c r="Z784" s="4">
        <f t="shared" si="183"/>
        <v>2666666.6666666665</v>
      </c>
      <c r="AA784" s="3">
        <f t="shared" si="183"/>
        <v>60</v>
      </c>
      <c r="AB784" t="str">
        <f t="shared" si="171"/>
        <v>28B0AA</v>
      </c>
    </row>
    <row r="785" spans="14:28">
      <c r="N785">
        <v>783</v>
      </c>
      <c r="O785">
        <f t="shared" si="177"/>
        <v>1830</v>
      </c>
      <c r="P785">
        <f t="shared" si="178"/>
        <v>7830</v>
      </c>
      <c r="Q785">
        <f t="shared" si="179"/>
        <v>0</v>
      </c>
      <c r="R785" s="4">
        <f t="shared" si="180"/>
        <v>0</v>
      </c>
      <c r="S785" s="3">
        <f t="shared" si="181"/>
        <v>0</v>
      </c>
      <c r="T785" t="str">
        <f t="shared" si="182"/>
        <v>0</v>
      </c>
      <c r="V785">
        <v>783</v>
      </c>
      <c r="W785">
        <f t="shared" si="174"/>
        <v>1530</v>
      </c>
      <c r="X785">
        <f t="shared" si="176"/>
        <v>7830</v>
      </c>
      <c r="Y785">
        <f t="shared" si="175"/>
        <v>60</v>
      </c>
      <c r="Z785" s="4">
        <f t="shared" si="183"/>
        <v>2666666.6666666665</v>
      </c>
      <c r="AA785" s="3">
        <f t="shared" si="183"/>
        <v>60</v>
      </c>
      <c r="AB785" t="str">
        <f t="shared" si="171"/>
        <v>28B0AA</v>
      </c>
    </row>
    <row r="786" spans="14:28">
      <c r="N786">
        <v>784</v>
      </c>
      <c r="O786">
        <f t="shared" si="177"/>
        <v>1840</v>
      </c>
      <c r="P786">
        <f t="shared" si="178"/>
        <v>7840</v>
      </c>
      <c r="Q786">
        <f t="shared" si="179"/>
        <v>0</v>
      </c>
      <c r="R786" s="4">
        <f t="shared" si="180"/>
        <v>0</v>
      </c>
      <c r="S786" s="3">
        <f t="shared" si="181"/>
        <v>0</v>
      </c>
      <c r="T786" t="str">
        <f t="shared" si="182"/>
        <v>0</v>
      </c>
      <c r="V786">
        <v>784</v>
      </c>
      <c r="W786">
        <f t="shared" si="174"/>
        <v>1540</v>
      </c>
      <c r="X786">
        <f t="shared" si="176"/>
        <v>7840</v>
      </c>
      <c r="Y786">
        <f t="shared" si="175"/>
        <v>60</v>
      </c>
      <c r="Z786" s="4">
        <f t="shared" si="183"/>
        <v>2666666.6666666665</v>
      </c>
      <c r="AA786" s="3">
        <f t="shared" si="183"/>
        <v>60</v>
      </c>
      <c r="AB786" t="str">
        <f t="shared" si="171"/>
        <v>28B0AA</v>
      </c>
    </row>
    <row r="787" spans="14:28">
      <c r="N787">
        <v>785</v>
      </c>
      <c r="O787">
        <f t="shared" si="177"/>
        <v>1850</v>
      </c>
      <c r="P787">
        <f t="shared" si="178"/>
        <v>7850</v>
      </c>
      <c r="Q787">
        <f t="shared" si="179"/>
        <v>0</v>
      </c>
      <c r="R787" s="4">
        <f t="shared" si="180"/>
        <v>0</v>
      </c>
      <c r="S787" s="3">
        <f t="shared" si="181"/>
        <v>0</v>
      </c>
      <c r="T787" t="str">
        <f t="shared" si="182"/>
        <v>0</v>
      </c>
      <c r="V787">
        <v>785</v>
      </c>
      <c r="W787">
        <f t="shared" si="174"/>
        <v>1550</v>
      </c>
      <c r="X787">
        <f t="shared" si="176"/>
        <v>7850</v>
      </c>
      <c r="Y787">
        <f t="shared" si="175"/>
        <v>60</v>
      </c>
      <c r="Z787" s="4">
        <f t="shared" si="183"/>
        <v>2666666.6666666665</v>
      </c>
      <c r="AA787" s="3">
        <f t="shared" si="183"/>
        <v>60</v>
      </c>
      <c r="AB787" t="str">
        <f t="shared" si="171"/>
        <v>28B0AA</v>
      </c>
    </row>
    <row r="788" spans="14:28">
      <c r="N788">
        <v>786</v>
      </c>
      <c r="O788">
        <f t="shared" si="177"/>
        <v>1860</v>
      </c>
      <c r="P788">
        <f t="shared" si="178"/>
        <v>7860</v>
      </c>
      <c r="Q788">
        <f t="shared" si="179"/>
        <v>0</v>
      </c>
      <c r="R788" s="4">
        <f t="shared" si="180"/>
        <v>0</v>
      </c>
      <c r="S788" s="3">
        <f t="shared" si="181"/>
        <v>0</v>
      </c>
      <c r="T788" t="str">
        <f t="shared" si="182"/>
        <v>0</v>
      </c>
      <c r="V788">
        <v>786</v>
      </c>
      <c r="W788">
        <f t="shared" si="174"/>
        <v>1560</v>
      </c>
      <c r="X788">
        <f t="shared" si="176"/>
        <v>7860</v>
      </c>
      <c r="Y788">
        <f t="shared" si="175"/>
        <v>60</v>
      </c>
      <c r="Z788" s="4">
        <f t="shared" si="183"/>
        <v>2666666.6666666665</v>
      </c>
      <c r="AA788" s="3">
        <f t="shared" si="183"/>
        <v>60</v>
      </c>
      <c r="AB788" t="str">
        <f t="shared" si="171"/>
        <v>28B0AA</v>
      </c>
    </row>
    <row r="789" spans="14:28">
      <c r="N789">
        <v>787</v>
      </c>
      <c r="O789">
        <f t="shared" si="177"/>
        <v>1870</v>
      </c>
      <c r="P789">
        <f t="shared" si="178"/>
        <v>7870</v>
      </c>
      <c r="Q789">
        <f t="shared" si="179"/>
        <v>0</v>
      </c>
      <c r="R789" s="4">
        <f t="shared" si="180"/>
        <v>0</v>
      </c>
      <c r="S789" s="3">
        <f t="shared" si="181"/>
        <v>0</v>
      </c>
      <c r="T789" t="str">
        <f t="shared" si="182"/>
        <v>0</v>
      </c>
      <c r="V789">
        <v>787</v>
      </c>
      <c r="W789">
        <f t="shared" si="174"/>
        <v>1570</v>
      </c>
      <c r="X789">
        <f t="shared" si="176"/>
        <v>7870</v>
      </c>
      <c r="Y789">
        <f t="shared" si="175"/>
        <v>60</v>
      </c>
      <c r="Z789" s="4">
        <f t="shared" si="183"/>
        <v>2666666.6666666665</v>
      </c>
      <c r="AA789" s="3">
        <f t="shared" si="183"/>
        <v>60</v>
      </c>
      <c r="AB789" t="str">
        <f t="shared" si="171"/>
        <v>28B0AA</v>
      </c>
    </row>
    <row r="790" spans="14:28">
      <c r="N790">
        <v>788</v>
      </c>
      <c r="O790">
        <f t="shared" si="177"/>
        <v>1880</v>
      </c>
      <c r="P790">
        <f t="shared" si="178"/>
        <v>7880</v>
      </c>
      <c r="Q790">
        <f t="shared" si="179"/>
        <v>0</v>
      </c>
      <c r="R790" s="4">
        <f t="shared" si="180"/>
        <v>0</v>
      </c>
      <c r="S790" s="3">
        <f t="shared" si="181"/>
        <v>0</v>
      </c>
      <c r="T790" t="str">
        <f t="shared" si="182"/>
        <v>0</v>
      </c>
      <c r="V790">
        <v>788</v>
      </c>
      <c r="W790">
        <f t="shared" si="174"/>
        <v>1580</v>
      </c>
      <c r="X790">
        <f t="shared" si="176"/>
        <v>7880</v>
      </c>
      <c r="Y790">
        <f t="shared" si="175"/>
        <v>60</v>
      </c>
      <c r="Z790" s="4">
        <f t="shared" si="183"/>
        <v>2666666.6666666665</v>
      </c>
      <c r="AA790" s="3">
        <f t="shared" si="183"/>
        <v>60</v>
      </c>
      <c r="AB790" t="str">
        <f t="shared" si="171"/>
        <v>28B0AA</v>
      </c>
    </row>
    <row r="791" spans="14:28">
      <c r="N791">
        <v>789</v>
      </c>
      <c r="O791">
        <f t="shared" si="177"/>
        <v>1890</v>
      </c>
      <c r="P791">
        <f t="shared" si="178"/>
        <v>7890</v>
      </c>
      <c r="Q791">
        <f t="shared" si="179"/>
        <v>0</v>
      </c>
      <c r="R791" s="4">
        <f t="shared" si="180"/>
        <v>0</v>
      </c>
      <c r="S791" s="3">
        <f t="shared" si="181"/>
        <v>0</v>
      </c>
      <c r="T791" t="str">
        <f t="shared" si="182"/>
        <v>0</v>
      </c>
      <c r="V791">
        <v>789</v>
      </c>
      <c r="W791">
        <f t="shared" si="174"/>
        <v>1590</v>
      </c>
      <c r="X791">
        <f t="shared" si="176"/>
        <v>7890</v>
      </c>
      <c r="Y791">
        <f t="shared" si="175"/>
        <v>60</v>
      </c>
      <c r="Z791" s="4">
        <f t="shared" si="183"/>
        <v>2666666.6666666665</v>
      </c>
      <c r="AA791" s="3">
        <f t="shared" si="183"/>
        <v>60</v>
      </c>
      <c r="AB791" t="str">
        <f t="shared" si="171"/>
        <v>28B0AA</v>
      </c>
    </row>
    <row r="792" spans="14:28">
      <c r="N792">
        <v>790</v>
      </c>
      <c r="O792">
        <f t="shared" si="177"/>
        <v>1900</v>
      </c>
      <c r="P792">
        <f t="shared" si="178"/>
        <v>7900</v>
      </c>
      <c r="Q792">
        <f t="shared" si="179"/>
        <v>0</v>
      </c>
      <c r="R792" s="4">
        <f t="shared" si="180"/>
        <v>0</v>
      </c>
      <c r="S792" s="3">
        <f t="shared" si="181"/>
        <v>0</v>
      </c>
      <c r="T792" t="str">
        <f t="shared" si="182"/>
        <v>0</v>
      </c>
      <c r="V792">
        <v>790</v>
      </c>
      <c r="W792">
        <f t="shared" si="174"/>
        <v>1600</v>
      </c>
      <c r="X792">
        <f t="shared" si="176"/>
        <v>7900</v>
      </c>
      <c r="Y792">
        <f t="shared" si="175"/>
        <v>60</v>
      </c>
      <c r="Z792" s="4">
        <f t="shared" si="183"/>
        <v>2666666.6666666665</v>
      </c>
      <c r="AA792" s="3">
        <f t="shared" si="183"/>
        <v>60</v>
      </c>
      <c r="AB792" t="str">
        <f t="shared" si="171"/>
        <v>28B0AA</v>
      </c>
    </row>
    <row r="793" spans="14:28">
      <c r="N793">
        <v>791</v>
      </c>
      <c r="O793">
        <f t="shared" si="177"/>
        <v>1910</v>
      </c>
      <c r="P793">
        <f t="shared" si="178"/>
        <v>7910</v>
      </c>
      <c r="Q793">
        <f t="shared" si="179"/>
        <v>0</v>
      </c>
      <c r="R793" s="4">
        <f t="shared" si="180"/>
        <v>0</v>
      </c>
      <c r="S793" s="3">
        <f t="shared" si="181"/>
        <v>0</v>
      </c>
      <c r="T793" t="str">
        <f t="shared" si="182"/>
        <v>0</v>
      </c>
      <c r="V793">
        <v>791</v>
      </c>
      <c r="W793">
        <f t="shared" si="174"/>
        <v>1610</v>
      </c>
      <c r="X793">
        <f t="shared" si="176"/>
        <v>7910</v>
      </c>
      <c r="Y793">
        <f t="shared" si="175"/>
        <v>60</v>
      </c>
      <c r="Z793" s="4">
        <f t="shared" si="183"/>
        <v>2666666.6666666665</v>
      </c>
      <c r="AA793" s="3">
        <f t="shared" si="183"/>
        <v>60</v>
      </c>
      <c r="AB793" t="str">
        <f t="shared" si="171"/>
        <v>28B0AA</v>
      </c>
    </row>
    <row r="794" spans="14:28">
      <c r="N794">
        <v>792</v>
      </c>
      <c r="O794">
        <f t="shared" si="177"/>
        <v>1920</v>
      </c>
      <c r="P794">
        <f t="shared" si="178"/>
        <v>7920</v>
      </c>
      <c r="Q794">
        <f t="shared" si="179"/>
        <v>0</v>
      </c>
      <c r="R794" s="4">
        <f t="shared" si="180"/>
        <v>0</v>
      </c>
      <c r="S794" s="3">
        <f t="shared" si="181"/>
        <v>0</v>
      </c>
      <c r="T794" t="str">
        <f t="shared" si="182"/>
        <v>0</v>
      </c>
      <c r="V794">
        <v>792</v>
      </c>
      <c r="W794">
        <f t="shared" si="174"/>
        <v>1620</v>
      </c>
      <c r="X794">
        <f t="shared" si="176"/>
        <v>7920</v>
      </c>
      <c r="Y794">
        <f t="shared" si="175"/>
        <v>60</v>
      </c>
      <c r="Z794" s="4">
        <f t="shared" si="183"/>
        <v>2666666.6666666665</v>
      </c>
      <c r="AA794" s="3">
        <f t="shared" si="183"/>
        <v>60</v>
      </c>
      <c r="AB794" t="str">
        <f t="shared" si="171"/>
        <v>28B0AA</v>
      </c>
    </row>
    <row r="795" spans="14:28">
      <c r="N795">
        <v>793</v>
      </c>
      <c r="O795">
        <f t="shared" si="177"/>
        <v>1930</v>
      </c>
      <c r="P795">
        <f t="shared" si="178"/>
        <v>7930</v>
      </c>
      <c r="Q795">
        <f t="shared" si="179"/>
        <v>0</v>
      </c>
      <c r="R795" s="4">
        <f t="shared" si="180"/>
        <v>0</v>
      </c>
      <c r="S795" s="3">
        <f t="shared" si="181"/>
        <v>0</v>
      </c>
      <c r="T795" t="str">
        <f t="shared" si="182"/>
        <v>0</v>
      </c>
      <c r="V795">
        <v>793</v>
      </c>
      <c r="W795">
        <f t="shared" si="174"/>
        <v>1630</v>
      </c>
      <c r="X795">
        <f t="shared" si="176"/>
        <v>7930</v>
      </c>
      <c r="Y795">
        <f t="shared" si="175"/>
        <v>60</v>
      </c>
      <c r="Z795" s="4">
        <f t="shared" si="183"/>
        <v>2666666.6666666665</v>
      </c>
      <c r="AA795" s="3">
        <f t="shared" si="183"/>
        <v>60</v>
      </c>
      <c r="AB795" t="str">
        <f t="shared" si="171"/>
        <v>28B0AA</v>
      </c>
    </row>
    <row r="796" spans="14:28">
      <c r="N796">
        <v>794</v>
      </c>
      <c r="O796">
        <f t="shared" si="177"/>
        <v>1940</v>
      </c>
      <c r="P796">
        <f t="shared" si="178"/>
        <v>7940</v>
      </c>
      <c r="Q796">
        <f t="shared" si="179"/>
        <v>0</v>
      </c>
      <c r="R796" s="4">
        <f t="shared" si="180"/>
        <v>0</v>
      </c>
      <c r="S796" s="3">
        <f t="shared" si="181"/>
        <v>0</v>
      </c>
      <c r="T796" t="str">
        <f t="shared" si="182"/>
        <v>0</v>
      </c>
      <c r="V796">
        <v>794</v>
      </c>
      <c r="W796">
        <f t="shared" si="174"/>
        <v>1640</v>
      </c>
      <c r="X796">
        <f t="shared" si="176"/>
        <v>7940</v>
      </c>
      <c r="Y796">
        <f t="shared" si="175"/>
        <v>60</v>
      </c>
      <c r="Z796" s="4">
        <f t="shared" si="183"/>
        <v>2666666.6666666665</v>
      </c>
      <c r="AA796" s="3">
        <f t="shared" si="183"/>
        <v>60</v>
      </c>
      <c r="AB796" t="str">
        <f t="shared" si="171"/>
        <v>28B0AA</v>
      </c>
    </row>
    <row r="797" spans="14:28">
      <c r="N797">
        <v>795</v>
      </c>
      <c r="O797">
        <f t="shared" si="177"/>
        <v>1950</v>
      </c>
      <c r="P797">
        <f t="shared" si="178"/>
        <v>7950</v>
      </c>
      <c r="Q797">
        <f t="shared" si="179"/>
        <v>0</v>
      </c>
      <c r="R797" s="4">
        <f t="shared" si="180"/>
        <v>0</v>
      </c>
      <c r="S797" s="3">
        <f t="shared" si="181"/>
        <v>0</v>
      </c>
      <c r="T797" t="str">
        <f t="shared" si="182"/>
        <v>0</v>
      </c>
      <c r="V797">
        <v>795</v>
      </c>
      <c r="W797">
        <f t="shared" si="174"/>
        <v>1650</v>
      </c>
      <c r="X797">
        <f t="shared" si="176"/>
        <v>7950</v>
      </c>
      <c r="Y797">
        <f t="shared" si="175"/>
        <v>60</v>
      </c>
      <c r="Z797" s="4">
        <f t="shared" si="183"/>
        <v>2666666.6666666665</v>
      </c>
      <c r="AA797" s="3">
        <f t="shared" si="183"/>
        <v>60</v>
      </c>
      <c r="AB797" t="str">
        <f t="shared" si="171"/>
        <v>28B0AA</v>
      </c>
    </row>
    <row r="798" spans="14:28">
      <c r="N798">
        <v>796</v>
      </c>
      <c r="O798">
        <f t="shared" si="177"/>
        <v>1960</v>
      </c>
      <c r="P798">
        <f t="shared" si="178"/>
        <v>7960</v>
      </c>
      <c r="Q798">
        <f t="shared" si="179"/>
        <v>0</v>
      </c>
      <c r="R798" s="4">
        <f t="shared" si="180"/>
        <v>0</v>
      </c>
      <c r="S798" s="3">
        <f t="shared" si="181"/>
        <v>0</v>
      </c>
      <c r="T798" t="str">
        <f t="shared" si="182"/>
        <v>0</v>
      </c>
      <c r="V798">
        <v>796</v>
      </c>
      <c r="W798">
        <f t="shared" si="174"/>
        <v>1660</v>
      </c>
      <c r="X798">
        <f t="shared" si="176"/>
        <v>7960</v>
      </c>
      <c r="Y798">
        <f t="shared" si="175"/>
        <v>60</v>
      </c>
      <c r="Z798" s="4">
        <f t="shared" si="183"/>
        <v>2666666.6666666665</v>
      </c>
      <c r="AA798" s="3">
        <f t="shared" si="183"/>
        <v>60</v>
      </c>
      <c r="AB798" t="str">
        <f t="shared" si="171"/>
        <v>28B0AA</v>
      </c>
    </row>
    <row r="799" spans="14:28">
      <c r="N799">
        <v>797</v>
      </c>
      <c r="O799">
        <f t="shared" si="177"/>
        <v>1970</v>
      </c>
      <c r="P799">
        <f t="shared" si="178"/>
        <v>7970</v>
      </c>
      <c r="Q799">
        <f t="shared" si="179"/>
        <v>0</v>
      </c>
      <c r="R799" s="4">
        <f t="shared" si="180"/>
        <v>0</v>
      </c>
      <c r="S799" s="3">
        <f t="shared" si="181"/>
        <v>0</v>
      </c>
      <c r="T799" t="str">
        <f t="shared" si="182"/>
        <v>0</v>
      </c>
      <c r="V799">
        <v>797</v>
      </c>
      <c r="W799">
        <f t="shared" si="174"/>
        <v>1670</v>
      </c>
      <c r="X799">
        <f t="shared" si="176"/>
        <v>7970</v>
      </c>
      <c r="Y799">
        <f t="shared" si="175"/>
        <v>60</v>
      </c>
      <c r="Z799" s="4">
        <f t="shared" ref="Z799:AA818" si="184">IFERROR(160*1000*1000/Y799,0)</f>
        <v>2666666.6666666665</v>
      </c>
      <c r="AA799" s="3">
        <f t="shared" si="184"/>
        <v>60</v>
      </c>
      <c r="AB799" t="str">
        <f t="shared" si="171"/>
        <v>28B0AA</v>
      </c>
    </row>
    <row r="800" spans="14:28">
      <c r="N800">
        <v>798</v>
      </c>
      <c r="O800">
        <f t="shared" si="177"/>
        <v>1980</v>
      </c>
      <c r="P800">
        <f t="shared" si="178"/>
        <v>7980</v>
      </c>
      <c r="Q800">
        <f t="shared" si="179"/>
        <v>0</v>
      </c>
      <c r="R800" s="4">
        <f t="shared" si="180"/>
        <v>0</v>
      </c>
      <c r="S800" s="3">
        <f t="shared" si="181"/>
        <v>0</v>
      </c>
      <c r="T800" t="str">
        <f t="shared" si="182"/>
        <v>0</v>
      </c>
      <c r="V800">
        <v>798</v>
      </c>
      <c r="W800">
        <f t="shared" si="174"/>
        <v>1680</v>
      </c>
      <c r="X800">
        <f t="shared" si="176"/>
        <v>7980</v>
      </c>
      <c r="Y800">
        <f t="shared" si="175"/>
        <v>60</v>
      </c>
      <c r="Z800" s="4">
        <f t="shared" si="184"/>
        <v>2666666.6666666665</v>
      </c>
      <c r="AA800" s="3">
        <f t="shared" si="184"/>
        <v>60</v>
      </c>
      <c r="AB800" t="str">
        <f t="shared" si="171"/>
        <v>28B0AA</v>
      </c>
    </row>
    <row r="801" spans="14:28">
      <c r="N801">
        <v>799</v>
      </c>
      <c r="O801">
        <f t="shared" si="177"/>
        <v>1990</v>
      </c>
      <c r="P801">
        <f t="shared" si="178"/>
        <v>7990</v>
      </c>
      <c r="Q801">
        <f t="shared" si="179"/>
        <v>0</v>
      </c>
      <c r="R801" s="4">
        <f t="shared" si="180"/>
        <v>0</v>
      </c>
      <c r="S801" s="3">
        <f t="shared" si="181"/>
        <v>0</v>
      </c>
      <c r="T801" t="str">
        <f t="shared" si="182"/>
        <v>0</v>
      </c>
      <c r="V801">
        <v>799</v>
      </c>
      <c r="W801">
        <f t="shared" si="174"/>
        <v>1690</v>
      </c>
      <c r="X801">
        <f t="shared" si="176"/>
        <v>7990</v>
      </c>
      <c r="Y801">
        <f t="shared" si="175"/>
        <v>60</v>
      </c>
      <c r="Z801" s="4">
        <f t="shared" si="184"/>
        <v>2666666.6666666665</v>
      </c>
      <c r="AA801" s="3">
        <f t="shared" si="184"/>
        <v>60</v>
      </c>
      <c r="AB801" t="str">
        <f t="shared" si="171"/>
        <v>28B0AA</v>
      </c>
    </row>
    <row r="802" spans="14:28">
      <c r="N802">
        <v>800</v>
      </c>
      <c r="O802">
        <f t="shared" si="177"/>
        <v>0</v>
      </c>
      <c r="P802">
        <f t="shared" si="178"/>
        <v>8000</v>
      </c>
      <c r="Q802">
        <f t="shared" si="179"/>
        <v>5</v>
      </c>
      <c r="R802" s="4">
        <f t="shared" si="180"/>
        <v>32000000</v>
      </c>
      <c r="S802" s="3">
        <f t="shared" si="181"/>
        <v>5</v>
      </c>
      <c r="T802" t="str">
        <f t="shared" si="182"/>
        <v>1E84800</v>
      </c>
      <c r="V802">
        <v>800</v>
      </c>
      <c r="W802">
        <f t="shared" si="174"/>
        <v>1700</v>
      </c>
      <c r="X802">
        <f t="shared" si="176"/>
        <v>8000</v>
      </c>
      <c r="Y802">
        <f t="shared" si="175"/>
        <v>60</v>
      </c>
      <c r="Z802" s="4">
        <f t="shared" si="184"/>
        <v>2666666.6666666665</v>
      </c>
      <c r="AA802" s="3">
        <f t="shared" si="184"/>
        <v>60</v>
      </c>
      <c r="AB802" t="str">
        <f t="shared" ref="AB802:AB865" si="185">DEC2HEX(Z802)</f>
        <v>28B0AA</v>
      </c>
    </row>
    <row r="803" spans="14:28">
      <c r="N803">
        <v>801</v>
      </c>
      <c r="O803">
        <f t="shared" si="177"/>
        <v>10</v>
      </c>
      <c r="P803">
        <f t="shared" si="178"/>
        <v>8010</v>
      </c>
      <c r="Q803">
        <f t="shared" si="179"/>
        <v>12.8</v>
      </c>
      <c r="R803" s="4">
        <f t="shared" si="180"/>
        <v>12500000</v>
      </c>
      <c r="S803" s="3">
        <f t="shared" si="181"/>
        <v>12.8</v>
      </c>
      <c r="T803" t="str">
        <f t="shared" si="182"/>
        <v>BEBC20</v>
      </c>
      <c r="V803">
        <v>801</v>
      </c>
      <c r="W803">
        <f t="shared" si="174"/>
        <v>1710</v>
      </c>
      <c r="X803">
        <f t="shared" si="176"/>
        <v>8010</v>
      </c>
      <c r="Y803">
        <f t="shared" si="175"/>
        <v>58.166666666666664</v>
      </c>
      <c r="Z803" s="4">
        <f t="shared" si="184"/>
        <v>2750716.3323782235</v>
      </c>
      <c r="AA803" s="3">
        <f t="shared" si="184"/>
        <v>58.166666666666664</v>
      </c>
      <c r="AB803" t="str">
        <f t="shared" si="185"/>
        <v>29F8FC</v>
      </c>
    </row>
    <row r="804" spans="14:28">
      <c r="N804">
        <v>802</v>
      </c>
      <c r="O804">
        <f t="shared" si="177"/>
        <v>20</v>
      </c>
      <c r="P804">
        <f t="shared" si="178"/>
        <v>8020</v>
      </c>
      <c r="Q804">
        <f t="shared" si="179"/>
        <v>20.6</v>
      </c>
      <c r="R804" s="4">
        <f t="shared" si="180"/>
        <v>7766990.2912621358</v>
      </c>
      <c r="S804" s="3">
        <f t="shared" si="181"/>
        <v>20.6</v>
      </c>
      <c r="T804" t="str">
        <f t="shared" si="182"/>
        <v>7683CE</v>
      </c>
      <c r="V804">
        <v>802</v>
      </c>
      <c r="W804">
        <f t="shared" si="174"/>
        <v>1720</v>
      </c>
      <c r="X804">
        <f t="shared" si="176"/>
        <v>8020</v>
      </c>
      <c r="Y804">
        <f t="shared" si="175"/>
        <v>56.333333333333336</v>
      </c>
      <c r="Z804" s="4">
        <f t="shared" si="184"/>
        <v>2840236.6863905326</v>
      </c>
      <c r="AA804" s="3">
        <f t="shared" si="184"/>
        <v>56.333333333333329</v>
      </c>
      <c r="AB804" t="str">
        <f t="shared" si="185"/>
        <v>2B56AC</v>
      </c>
    </row>
    <row r="805" spans="14:28">
      <c r="N805">
        <v>803</v>
      </c>
      <c r="O805">
        <f t="shared" si="177"/>
        <v>30</v>
      </c>
      <c r="P805">
        <f t="shared" si="178"/>
        <v>8030</v>
      </c>
      <c r="Q805">
        <f t="shared" si="179"/>
        <v>28.4</v>
      </c>
      <c r="R805" s="4">
        <f t="shared" si="180"/>
        <v>5633802.8169014091</v>
      </c>
      <c r="S805" s="3">
        <f t="shared" si="181"/>
        <v>28.4</v>
      </c>
      <c r="T805" t="str">
        <f t="shared" si="182"/>
        <v>55F70A</v>
      </c>
      <c r="V805">
        <v>803</v>
      </c>
      <c r="W805">
        <f t="shared" si="174"/>
        <v>1730</v>
      </c>
      <c r="X805">
        <f t="shared" si="176"/>
        <v>8030</v>
      </c>
      <c r="Y805">
        <f t="shared" si="175"/>
        <v>54.5</v>
      </c>
      <c r="Z805" s="4">
        <f t="shared" si="184"/>
        <v>2935779.8165137614</v>
      </c>
      <c r="AA805" s="3">
        <f t="shared" si="184"/>
        <v>54.5</v>
      </c>
      <c r="AB805" t="str">
        <f t="shared" si="185"/>
        <v>2CCBE3</v>
      </c>
    </row>
    <row r="806" spans="14:28">
      <c r="N806">
        <v>804</v>
      </c>
      <c r="O806">
        <f t="shared" si="177"/>
        <v>40</v>
      </c>
      <c r="P806">
        <f t="shared" si="178"/>
        <v>8040</v>
      </c>
      <c r="Q806">
        <f t="shared" si="179"/>
        <v>36.200000000000003</v>
      </c>
      <c r="R806" s="4">
        <f t="shared" si="180"/>
        <v>4419889.5027624303</v>
      </c>
      <c r="S806" s="3">
        <f t="shared" si="181"/>
        <v>36.200000000000003</v>
      </c>
      <c r="T806" t="str">
        <f t="shared" si="182"/>
        <v>437131</v>
      </c>
      <c r="V806">
        <v>804</v>
      </c>
      <c r="W806">
        <f t="shared" si="174"/>
        <v>1740</v>
      </c>
      <c r="X806">
        <f t="shared" si="176"/>
        <v>8040</v>
      </c>
      <c r="Y806">
        <f t="shared" si="175"/>
        <v>52.666666666666671</v>
      </c>
      <c r="Z806" s="4">
        <f t="shared" si="184"/>
        <v>3037974.6835443038</v>
      </c>
      <c r="AA806" s="3">
        <f t="shared" si="184"/>
        <v>52.666666666666664</v>
      </c>
      <c r="AB806" t="str">
        <f t="shared" si="185"/>
        <v>2E5B16</v>
      </c>
    </row>
    <row r="807" spans="14:28">
      <c r="N807">
        <v>805</v>
      </c>
      <c r="O807">
        <f t="shared" si="177"/>
        <v>50</v>
      </c>
      <c r="P807">
        <f t="shared" si="178"/>
        <v>8050</v>
      </c>
      <c r="Q807">
        <f t="shared" si="179"/>
        <v>44</v>
      </c>
      <c r="R807" s="4">
        <f t="shared" si="180"/>
        <v>3636363.6363636362</v>
      </c>
      <c r="S807" s="3">
        <f t="shared" si="181"/>
        <v>44</v>
      </c>
      <c r="T807" t="str">
        <f t="shared" si="182"/>
        <v>377C8B</v>
      </c>
      <c r="V807">
        <v>805</v>
      </c>
      <c r="W807">
        <f t="shared" si="174"/>
        <v>1750</v>
      </c>
      <c r="X807">
        <f t="shared" si="176"/>
        <v>8050</v>
      </c>
      <c r="Y807">
        <f t="shared" si="175"/>
        <v>50.833333333333336</v>
      </c>
      <c r="Z807" s="4">
        <f t="shared" si="184"/>
        <v>3147540.9836065574</v>
      </c>
      <c r="AA807" s="3">
        <f t="shared" si="184"/>
        <v>50.833333333333336</v>
      </c>
      <c r="AB807" t="str">
        <f t="shared" si="185"/>
        <v>300714</v>
      </c>
    </row>
    <row r="808" spans="14:28">
      <c r="N808">
        <v>806</v>
      </c>
      <c r="O808">
        <f t="shared" si="177"/>
        <v>60</v>
      </c>
      <c r="P808">
        <f t="shared" si="178"/>
        <v>8060</v>
      </c>
      <c r="Q808">
        <f t="shared" si="179"/>
        <v>51.8</v>
      </c>
      <c r="R808" s="4">
        <f t="shared" si="180"/>
        <v>3088803.0888030888</v>
      </c>
      <c r="S808" s="3">
        <f t="shared" si="181"/>
        <v>51.800000000000004</v>
      </c>
      <c r="T808" t="str">
        <f t="shared" si="182"/>
        <v>2F21A3</v>
      </c>
      <c r="V808">
        <v>806</v>
      </c>
      <c r="W808">
        <f t="shared" si="174"/>
        <v>1760</v>
      </c>
      <c r="X808">
        <f t="shared" si="176"/>
        <v>8060</v>
      </c>
      <c r="Y808">
        <f t="shared" si="175"/>
        <v>49</v>
      </c>
      <c r="Z808" s="4">
        <f t="shared" si="184"/>
        <v>3265306.1224489794</v>
      </c>
      <c r="AA808" s="3">
        <f t="shared" si="184"/>
        <v>49</v>
      </c>
      <c r="AB808" t="str">
        <f t="shared" si="185"/>
        <v>31D31A</v>
      </c>
    </row>
    <row r="809" spans="14:28">
      <c r="N809">
        <v>807</v>
      </c>
      <c r="O809">
        <f t="shared" si="177"/>
        <v>70</v>
      </c>
      <c r="P809">
        <f t="shared" si="178"/>
        <v>8070</v>
      </c>
      <c r="Q809">
        <f t="shared" si="179"/>
        <v>59.600000000000009</v>
      </c>
      <c r="R809" s="4">
        <f t="shared" si="180"/>
        <v>2684563.7583892616</v>
      </c>
      <c r="S809" s="3">
        <f t="shared" si="181"/>
        <v>59.6</v>
      </c>
      <c r="T809" t="str">
        <f t="shared" si="182"/>
        <v>28F693</v>
      </c>
      <c r="V809">
        <v>807</v>
      </c>
      <c r="W809">
        <f t="shared" si="174"/>
        <v>1770</v>
      </c>
      <c r="X809">
        <f t="shared" si="176"/>
        <v>8070</v>
      </c>
      <c r="Y809">
        <f t="shared" si="175"/>
        <v>47.166666666666671</v>
      </c>
      <c r="Z809" s="4">
        <f t="shared" si="184"/>
        <v>3392226.1484098937</v>
      </c>
      <c r="AA809" s="3">
        <f t="shared" si="184"/>
        <v>47.166666666666671</v>
      </c>
      <c r="AB809" t="str">
        <f t="shared" si="185"/>
        <v>33C2E2</v>
      </c>
    </row>
    <row r="810" spans="14:28">
      <c r="N810">
        <v>808</v>
      </c>
      <c r="O810">
        <f t="shared" si="177"/>
        <v>80</v>
      </c>
      <c r="P810">
        <f t="shared" si="178"/>
        <v>8080</v>
      </c>
      <c r="Q810">
        <f t="shared" si="179"/>
        <v>67.400000000000006</v>
      </c>
      <c r="R810" s="4">
        <f t="shared" si="180"/>
        <v>2373887.240356083</v>
      </c>
      <c r="S810" s="3">
        <f t="shared" si="181"/>
        <v>67.400000000000006</v>
      </c>
      <c r="T810" t="str">
        <f t="shared" si="182"/>
        <v>2438FF</v>
      </c>
      <c r="V810">
        <v>808</v>
      </c>
      <c r="W810">
        <f t="shared" si="174"/>
        <v>1780</v>
      </c>
      <c r="X810">
        <f t="shared" si="176"/>
        <v>8080</v>
      </c>
      <c r="Y810">
        <f t="shared" si="175"/>
        <v>45.333333333333329</v>
      </c>
      <c r="Z810" s="4">
        <f t="shared" si="184"/>
        <v>3529411.7647058829</v>
      </c>
      <c r="AA810" s="3">
        <f t="shared" si="184"/>
        <v>45.333333333333329</v>
      </c>
      <c r="AB810" t="str">
        <f t="shared" si="185"/>
        <v>35DAC3</v>
      </c>
    </row>
    <row r="811" spans="14:28">
      <c r="N811">
        <v>809</v>
      </c>
      <c r="O811">
        <f t="shared" si="177"/>
        <v>90</v>
      </c>
      <c r="P811">
        <f t="shared" si="178"/>
        <v>8090</v>
      </c>
      <c r="Q811">
        <f t="shared" si="179"/>
        <v>75.2</v>
      </c>
      <c r="R811" s="4">
        <f t="shared" si="180"/>
        <v>2127659.5744680851</v>
      </c>
      <c r="S811" s="3">
        <f t="shared" si="181"/>
        <v>75.2</v>
      </c>
      <c r="T811" t="str">
        <f t="shared" si="182"/>
        <v>20772B</v>
      </c>
      <c r="V811">
        <v>809</v>
      </c>
      <c r="W811">
        <f t="shared" si="174"/>
        <v>1790</v>
      </c>
      <c r="X811">
        <f t="shared" si="176"/>
        <v>8090</v>
      </c>
      <c r="Y811">
        <f t="shared" si="175"/>
        <v>43.5</v>
      </c>
      <c r="Z811" s="4">
        <f t="shared" si="184"/>
        <v>3678160.9195402297</v>
      </c>
      <c r="AA811" s="3">
        <f t="shared" si="184"/>
        <v>43.5</v>
      </c>
      <c r="AB811" t="str">
        <f t="shared" si="185"/>
        <v>381FD0</v>
      </c>
    </row>
    <row r="812" spans="14:28">
      <c r="N812">
        <v>810</v>
      </c>
      <c r="O812">
        <f t="shared" si="177"/>
        <v>100</v>
      </c>
      <c r="P812">
        <f t="shared" si="178"/>
        <v>8100</v>
      </c>
      <c r="Q812">
        <f t="shared" si="179"/>
        <v>83</v>
      </c>
      <c r="R812" s="4">
        <f t="shared" si="180"/>
        <v>1927710.843373494</v>
      </c>
      <c r="S812" s="3">
        <f t="shared" si="181"/>
        <v>83</v>
      </c>
      <c r="T812" t="str">
        <f t="shared" si="182"/>
        <v>1D6A1E</v>
      </c>
      <c r="V812">
        <v>810</v>
      </c>
      <c r="W812">
        <f t="shared" si="174"/>
        <v>1800</v>
      </c>
      <c r="X812">
        <f t="shared" si="176"/>
        <v>8100</v>
      </c>
      <c r="Y812">
        <f t="shared" si="175"/>
        <v>41.666666666666664</v>
      </c>
      <c r="Z812" s="4">
        <f t="shared" si="184"/>
        <v>3840000</v>
      </c>
      <c r="AA812" s="3">
        <f t="shared" si="184"/>
        <v>41.666666666666664</v>
      </c>
      <c r="AB812" t="str">
        <f t="shared" si="185"/>
        <v>3A9800</v>
      </c>
    </row>
    <row r="813" spans="14:28">
      <c r="N813">
        <v>811</v>
      </c>
      <c r="O813">
        <f t="shared" si="177"/>
        <v>110</v>
      </c>
      <c r="P813">
        <f t="shared" si="178"/>
        <v>8110</v>
      </c>
      <c r="Q813">
        <f t="shared" si="179"/>
        <v>90.8</v>
      </c>
      <c r="R813" s="4">
        <f t="shared" si="180"/>
        <v>1762114.537444934</v>
      </c>
      <c r="S813" s="3">
        <f t="shared" si="181"/>
        <v>90.8</v>
      </c>
      <c r="T813" t="str">
        <f t="shared" si="182"/>
        <v>1AE342</v>
      </c>
      <c r="V813">
        <v>811</v>
      </c>
      <c r="W813">
        <f t="shared" si="174"/>
        <v>1810</v>
      </c>
      <c r="X813">
        <f t="shared" si="176"/>
        <v>8110</v>
      </c>
      <c r="Y813">
        <f t="shared" si="175"/>
        <v>39.833333333333329</v>
      </c>
      <c r="Z813" s="4">
        <f t="shared" si="184"/>
        <v>4016736.4016736406</v>
      </c>
      <c r="AA813" s="3">
        <f t="shared" si="184"/>
        <v>39.833333333333329</v>
      </c>
      <c r="AB813" t="str">
        <f t="shared" si="185"/>
        <v>3D4A60</v>
      </c>
    </row>
    <row r="814" spans="14:28">
      <c r="N814">
        <v>812</v>
      </c>
      <c r="O814">
        <f t="shared" si="177"/>
        <v>120</v>
      </c>
      <c r="P814">
        <f t="shared" si="178"/>
        <v>8120</v>
      </c>
      <c r="Q814">
        <f t="shared" si="179"/>
        <v>98.6</v>
      </c>
      <c r="R814" s="4">
        <f t="shared" si="180"/>
        <v>1622718.0527383368</v>
      </c>
      <c r="S814" s="3">
        <f t="shared" si="181"/>
        <v>98.6</v>
      </c>
      <c r="T814" t="str">
        <f t="shared" si="182"/>
        <v>18C2BE</v>
      </c>
      <c r="V814">
        <v>812</v>
      </c>
      <c r="W814">
        <f t="shared" si="174"/>
        <v>1820</v>
      </c>
      <c r="X814">
        <f t="shared" si="176"/>
        <v>8120</v>
      </c>
      <c r="Y814">
        <f t="shared" si="175"/>
        <v>38</v>
      </c>
      <c r="Z814" s="4">
        <f t="shared" si="184"/>
        <v>4210526.3157894732</v>
      </c>
      <c r="AA814" s="3">
        <f t="shared" si="184"/>
        <v>38.000000000000007</v>
      </c>
      <c r="AB814" t="str">
        <f t="shared" si="185"/>
        <v>403F5E</v>
      </c>
    </row>
    <row r="815" spans="14:28">
      <c r="N815">
        <v>813</v>
      </c>
      <c r="O815">
        <f t="shared" si="177"/>
        <v>130</v>
      </c>
      <c r="P815">
        <f t="shared" si="178"/>
        <v>8130</v>
      </c>
      <c r="Q815">
        <f t="shared" si="179"/>
        <v>106.4</v>
      </c>
      <c r="R815" s="4">
        <f t="shared" si="180"/>
        <v>1503759.3984962406</v>
      </c>
      <c r="S815" s="3">
        <f t="shared" si="181"/>
        <v>106.4</v>
      </c>
      <c r="T815" t="str">
        <f t="shared" si="182"/>
        <v>16F20F</v>
      </c>
      <c r="V815">
        <v>813</v>
      </c>
      <c r="W815">
        <f t="shared" si="174"/>
        <v>1830</v>
      </c>
      <c r="X815">
        <f t="shared" si="176"/>
        <v>8130</v>
      </c>
      <c r="Y815">
        <f t="shared" si="175"/>
        <v>36.166666666666664</v>
      </c>
      <c r="Z815" s="4">
        <f t="shared" si="184"/>
        <v>4423963.1336405529</v>
      </c>
      <c r="AA815" s="3">
        <f t="shared" si="184"/>
        <v>36.166666666666664</v>
      </c>
      <c r="AB815" t="str">
        <f t="shared" si="185"/>
        <v>43811B</v>
      </c>
    </row>
    <row r="816" spans="14:28">
      <c r="N816">
        <v>814</v>
      </c>
      <c r="O816">
        <f t="shared" si="177"/>
        <v>140</v>
      </c>
      <c r="P816">
        <f t="shared" si="178"/>
        <v>8140</v>
      </c>
      <c r="Q816">
        <f t="shared" si="179"/>
        <v>114.20000000000002</v>
      </c>
      <c r="R816" s="4">
        <f t="shared" si="180"/>
        <v>1401050.7880910682</v>
      </c>
      <c r="S816" s="3">
        <f t="shared" si="181"/>
        <v>114.20000000000002</v>
      </c>
      <c r="T816" t="str">
        <f t="shared" si="182"/>
        <v>1560DA</v>
      </c>
      <c r="V816">
        <v>814</v>
      </c>
      <c r="W816">
        <f t="shared" si="174"/>
        <v>1840</v>
      </c>
      <c r="X816">
        <f t="shared" si="176"/>
        <v>8140</v>
      </c>
      <c r="Y816">
        <f t="shared" si="175"/>
        <v>34.333333333333329</v>
      </c>
      <c r="Z816" s="4">
        <f t="shared" si="184"/>
        <v>4660194.1747572822</v>
      </c>
      <c r="AA816" s="3">
        <f t="shared" si="184"/>
        <v>34.333333333333329</v>
      </c>
      <c r="AB816" t="str">
        <f t="shared" si="185"/>
        <v>471BE2</v>
      </c>
    </row>
    <row r="817" spans="14:28">
      <c r="N817">
        <v>815</v>
      </c>
      <c r="O817">
        <f t="shared" si="177"/>
        <v>150</v>
      </c>
      <c r="P817">
        <f t="shared" si="178"/>
        <v>8150</v>
      </c>
      <c r="Q817">
        <f t="shared" si="179"/>
        <v>122</v>
      </c>
      <c r="R817" s="4">
        <f t="shared" si="180"/>
        <v>1311475.4098360655</v>
      </c>
      <c r="S817" s="3">
        <f t="shared" si="181"/>
        <v>122.00000000000001</v>
      </c>
      <c r="T817" t="str">
        <f t="shared" si="182"/>
        <v>1402F3</v>
      </c>
      <c r="V817">
        <v>815</v>
      </c>
      <c r="W817">
        <f t="shared" si="174"/>
        <v>1850</v>
      </c>
      <c r="X817">
        <f t="shared" si="176"/>
        <v>8150</v>
      </c>
      <c r="Y817">
        <f t="shared" si="175"/>
        <v>32.5</v>
      </c>
      <c r="Z817" s="4">
        <f t="shared" si="184"/>
        <v>4923076.923076923</v>
      </c>
      <c r="AA817" s="3">
        <f t="shared" si="184"/>
        <v>32.5</v>
      </c>
      <c r="AB817" t="str">
        <f t="shared" si="185"/>
        <v>4B1EC4</v>
      </c>
    </row>
    <row r="818" spans="14:28">
      <c r="N818">
        <v>816</v>
      </c>
      <c r="O818">
        <f t="shared" si="177"/>
        <v>160</v>
      </c>
      <c r="P818">
        <f t="shared" si="178"/>
        <v>8160</v>
      </c>
      <c r="Q818">
        <f t="shared" si="179"/>
        <v>129.80000000000001</v>
      </c>
      <c r="R818" s="4">
        <f t="shared" si="180"/>
        <v>1232665.6394453004</v>
      </c>
      <c r="S818" s="3">
        <f t="shared" si="181"/>
        <v>129.80000000000001</v>
      </c>
      <c r="T818" t="str">
        <f t="shared" si="182"/>
        <v>12CF19</v>
      </c>
      <c r="V818">
        <v>816</v>
      </c>
      <c r="W818">
        <f t="shared" si="174"/>
        <v>1860</v>
      </c>
      <c r="X818">
        <f t="shared" si="176"/>
        <v>8160</v>
      </c>
      <c r="Y818">
        <f t="shared" si="175"/>
        <v>30.666666666666668</v>
      </c>
      <c r="Z818" s="4">
        <f t="shared" si="184"/>
        <v>5217391.3043478262</v>
      </c>
      <c r="AA818" s="3">
        <f t="shared" si="184"/>
        <v>30.666666666666668</v>
      </c>
      <c r="AB818" t="str">
        <f t="shared" si="185"/>
        <v>4F9C6F</v>
      </c>
    </row>
    <row r="819" spans="14:28">
      <c r="N819">
        <v>817</v>
      </c>
      <c r="O819">
        <f t="shared" si="177"/>
        <v>170</v>
      </c>
      <c r="P819">
        <f t="shared" si="178"/>
        <v>8170</v>
      </c>
      <c r="Q819">
        <f t="shared" si="179"/>
        <v>137.60000000000002</v>
      </c>
      <c r="R819" s="4">
        <f t="shared" si="180"/>
        <v>1162790.6976744183</v>
      </c>
      <c r="S819" s="3">
        <f t="shared" si="181"/>
        <v>137.60000000000002</v>
      </c>
      <c r="T819" t="str">
        <f t="shared" si="182"/>
        <v>11BE26</v>
      </c>
      <c r="V819">
        <v>817</v>
      </c>
      <c r="W819">
        <f t="shared" si="174"/>
        <v>1870</v>
      </c>
      <c r="X819">
        <f t="shared" si="176"/>
        <v>8170</v>
      </c>
      <c r="Y819">
        <f t="shared" si="175"/>
        <v>28.833333333333336</v>
      </c>
      <c r="Z819" s="4">
        <f t="shared" ref="Z819:AA838" si="186">IFERROR(160*1000*1000/Y819,0)</f>
        <v>5549132.9479768779</v>
      </c>
      <c r="AA819" s="3">
        <f t="shared" si="186"/>
        <v>28.833333333333336</v>
      </c>
      <c r="AB819" t="str">
        <f t="shared" si="185"/>
        <v>54AC4C</v>
      </c>
    </row>
    <row r="820" spans="14:28">
      <c r="N820">
        <v>818</v>
      </c>
      <c r="O820">
        <f t="shared" si="177"/>
        <v>180</v>
      </c>
      <c r="P820">
        <f t="shared" si="178"/>
        <v>8180</v>
      </c>
      <c r="Q820">
        <f t="shared" si="179"/>
        <v>145.4</v>
      </c>
      <c r="R820" s="4">
        <f t="shared" si="180"/>
        <v>1100412.6547455296</v>
      </c>
      <c r="S820" s="3">
        <f t="shared" si="181"/>
        <v>145.39999999999998</v>
      </c>
      <c r="T820" t="str">
        <f t="shared" si="182"/>
        <v>10CA7C</v>
      </c>
      <c r="V820">
        <v>818</v>
      </c>
      <c r="W820">
        <f t="shared" si="174"/>
        <v>1880</v>
      </c>
      <c r="X820">
        <f t="shared" si="176"/>
        <v>8180</v>
      </c>
      <c r="Y820">
        <f t="shared" si="175"/>
        <v>27</v>
      </c>
      <c r="Z820" s="4">
        <f t="shared" si="186"/>
        <v>5925925.9259259263</v>
      </c>
      <c r="AA820" s="3">
        <f t="shared" si="186"/>
        <v>27</v>
      </c>
      <c r="AB820" t="str">
        <f t="shared" si="185"/>
        <v>5A6C25</v>
      </c>
    </row>
    <row r="821" spans="14:28">
      <c r="N821">
        <v>819</v>
      </c>
      <c r="O821">
        <f t="shared" si="177"/>
        <v>190</v>
      </c>
      <c r="P821">
        <f t="shared" si="178"/>
        <v>8190</v>
      </c>
      <c r="Q821">
        <f t="shared" si="179"/>
        <v>153.19999999999999</v>
      </c>
      <c r="R821" s="4">
        <f t="shared" si="180"/>
        <v>1044386.4229765014</v>
      </c>
      <c r="S821" s="3">
        <f t="shared" si="181"/>
        <v>153.19999999999999</v>
      </c>
      <c r="T821" t="str">
        <f t="shared" si="182"/>
        <v>FEFA2</v>
      </c>
      <c r="V821">
        <v>819</v>
      </c>
      <c r="W821">
        <f t="shared" si="174"/>
        <v>1890</v>
      </c>
      <c r="X821">
        <f t="shared" si="176"/>
        <v>8190</v>
      </c>
      <c r="Y821">
        <f t="shared" si="175"/>
        <v>25.166666666666664</v>
      </c>
      <c r="Z821" s="4">
        <f t="shared" si="186"/>
        <v>6357615.8940397361</v>
      </c>
      <c r="AA821" s="3">
        <f t="shared" si="186"/>
        <v>25.166666666666664</v>
      </c>
      <c r="AB821" t="str">
        <f t="shared" si="185"/>
        <v>61026F</v>
      </c>
    </row>
    <row r="822" spans="14:28">
      <c r="N822">
        <v>820</v>
      </c>
      <c r="O822">
        <f t="shared" si="177"/>
        <v>200</v>
      </c>
      <c r="P822">
        <f t="shared" si="178"/>
        <v>8200</v>
      </c>
      <c r="Q822">
        <f t="shared" si="179"/>
        <v>161</v>
      </c>
      <c r="R822" s="4">
        <f t="shared" si="180"/>
        <v>993788.81987577642</v>
      </c>
      <c r="S822" s="3">
        <f t="shared" si="181"/>
        <v>161</v>
      </c>
      <c r="T822" t="str">
        <f t="shared" si="182"/>
        <v>F29FC</v>
      </c>
      <c r="V822">
        <v>820</v>
      </c>
      <c r="W822">
        <f t="shared" si="174"/>
        <v>1900</v>
      </c>
      <c r="X822">
        <f t="shared" si="176"/>
        <v>8200</v>
      </c>
      <c r="Y822">
        <f t="shared" si="175"/>
        <v>23.333333333333332</v>
      </c>
      <c r="Z822" s="4">
        <f t="shared" si="186"/>
        <v>6857142.8571428573</v>
      </c>
      <c r="AA822" s="3">
        <f t="shared" si="186"/>
        <v>23.333333333333332</v>
      </c>
      <c r="AB822" t="str">
        <f t="shared" si="185"/>
        <v>68A1B6</v>
      </c>
    </row>
    <row r="823" spans="14:28">
      <c r="N823">
        <v>821</v>
      </c>
      <c r="O823">
        <f t="shared" si="177"/>
        <v>210</v>
      </c>
      <c r="P823">
        <f t="shared" si="178"/>
        <v>8210</v>
      </c>
      <c r="Q823">
        <f t="shared" si="179"/>
        <v>168.79999999999998</v>
      </c>
      <c r="R823" s="4">
        <f t="shared" si="180"/>
        <v>947867.29857819912</v>
      </c>
      <c r="S823" s="3">
        <f t="shared" si="181"/>
        <v>168.79999999999998</v>
      </c>
      <c r="T823" t="str">
        <f t="shared" si="182"/>
        <v>E769B</v>
      </c>
      <c r="V823">
        <v>821</v>
      </c>
      <c r="W823">
        <f t="shared" si="174"/>
        <v>1910</v>
      </c>
      <c r="X823">
        <f t="shared" si="176"/>
        <v>8210</v>
      </c>
      <c r="Y823">
        <f t="shared" si="175"/>
        <v>21.5</v>
      </c>
      <c r="Z823" s="4">
        <f t="shared" si="186"/>
        <v>7441860.4651162792</v>
      </c>
      <c r="AA823" s="3">
        <f t="shared" si="186"/>
        <v>21.5</v>
      </c>
      <c r="AB823" t="str">
        <f t="shared" si="185"/>
        <v>718DC4</v>
      </c>
    </row>
    <row r="824" spans="14:28">
      <c r="N824">
        <v>822</v>
      </c>
      <c r="O824">
        <f t="shared" si="177"/>
        <v>220</v>
      </c>
      <c r="P824">
        <f t="shared" si="178"/>
        <v>8220</v>
      </c>
      <c r="Q824">
        <f t="shared" si="179"/>
        <v>176.6</v>
      </c>
      <c r="R824" s="4">
        <f t="shared" si="180"/>
        <v>906002.26500566257</v>
      </c>
      <c r="S824" s="3">
        <f t="shared" si="181"/>
        <v>176.6</v>
      </c>
      <c r="T824" t="str">
        <f t="shared" si="182"/>
        <v>DD312</v>
      </c>
      <c r="V824">
        <v>822</v>
      </c>
      <c r="W824">
        <f t="shared" si="174"/>
        <v>1920</v>
      </c>
      <c r="X824">
        <f t="shared" si="176"/>
        <v>8220</v>
      </c>
      <c r="Y824">
        <f t="shared" si="175"/>
        <v>19.666666666666664</v>
      </c>
      <c r="Z824" s="4">
        <f t="shared" si="186"/>
        <v>8135593.2203389844</v>
      </c>
      <c r="AA824" s="3">
        <f t="shared" si="186"/>
        <v>19.666666666666664</v>
      </c>
      <c r="AB824" t="str">
        <f t="shared" si="185"/>
        <v>7C23A9</v>
      </c>
    </row>
    <row r="825" spans="14:28">
      <c r="N825">
        <v>823</v>
      </c>
      <c r="O825">
        <f t="shared" si="177"/>
        <v>230</v>
      </c>
      <c r="P825">
        <f t="shared" si="178"/>
        <v>8230</v>
      </c>
      <c r="Q825">
        <f t="shared" si="179"/>
        <v>184.4</v>
      </c>
      <c r="R825" s="4">
        <f t="shared" si="180"/>
        <v>867678.95878524939</v>
      </c>
      <c r="S825" s="3">
        <f t="shared" si="181"/>
        <v>184.4</v>
      </c>
      <c r="T825" t="str">
        <f t="shared" si="182"/>
        <v>D3D5E</v>
      </c>
      <c r="V825">
        <v>823</v>
      </c>
      <c r="W825">
        <f t="shared" si="174"/>
        <v>1930</v>
      </c>
      <c r="X825">
        <f t="shared" si="176"/>
        <v>8230</v>
      </c>
      <c r="Y825">
        <f t="shared" si="175"/>
        <v>17.833333333333336</v>
      </c>
      <c r="Z825" s="4">
        <f t="shared" si="186"/>
        <v>8971962.616822429</v>
      </c>
      <c r="AA825" s="3">
        <f t="shared" si="186"/>
        <v>17.833333333333336</v>
      </c>
      <c r="AB825" t="str">
        <f t="shared" si="185"/>
        <v>88E6BA</v>
      </c>
    </row>
    <row r="826" spans="14:28">
      <c r="N826">
        <v>824</v>
      </c>
      <c r="O826">
        <f t="shared" si="177"/>
        <v>240</v>
      </c>
      <c r="P826">
        <f t="shared" si="178"/>
        <v>8240</v>
      </c>
      <c r="Q826">
        <f t="shared" si="179"/>
        <v>192.2</v>
      </c>
      <c r="R826" s="4">
        <f t="shared" si="180"/>
        <v>832466.1810613944</v>
      </c>
      <c r="S826" s="3">
        <f t="shared" si="181"/>
        <v>192.2</v>
      </c>
      <c r="T826" t="str">
        <f t="shared" si="182"/>
        <v>CB3D2</v>
      </c>
      <c r="V826">
        <v>824</v>
      </c>
      <c r="W826">
        <f t="shared" si="174"/>
        <v>1940</v>
      </c>
      <c r="X826">
        <f t="shared" si="176"/>
        <v>8240</v>
      </c>
      <c r="Y826">
        <f t="shared" si="175"/>
        <v>16</v>
      </c>
      <c r="Z826" s="4">
        <f t="shared" si="186"/>
        <v>10000000</v>
      </c>
      <c r="AA826" s="3">
        <f t="shared" si="186"/>
        <v>16</v>
      </c>
      <c r="AB826" t="str">
        <f t="shared" si="185"/>
        <v>989680</v>
      </c>
    </row>
    <row r="827" spans="14:28">
      <c r="N827">
        <v>825</v>
      </c>
      <c r="O827">
        <f t="shared" si="177"/>
        <v>250</v>
      </c>
      <c r="P827">
        <f t="shared" si="178"/>
        <v>8250</v>
      </c>
      <c r="Q827">
        <f t="shared" si="179"/>
        <v>200</v>
      </c>
      <c r="R827" s="4">
        <f t="shared" si="180"/>
        <v>800000</v>
      </c>
      <c r="S827" s="3">
        <f t="shared" si="181"/>
        <v>200</v>
      </c>
      <c r="T827" t="str">
        <f t="shared" si="182"/>
        <v>C3500</v>
      </c>
      <c r="V827">
        <v>825</v>
      </c>
      <c r="W827">
        <f t="shared" si="174"/>
        <v>1950</v>
      </c>
      <c r="X827">
        <f t="shared" si="176"/>
        <v>8250</v>
      </c>
      <c r="Y827">
        <f t="shared" si="175"/>
        <v>14.166666666666666</v>
      </c>
      <c r="Z827" s="4">
        <f t="shared" si="186"/>
        <v>11294117.647058824</v>
      </c>
      <c r="AA827" s="3">
        <f t="shared" si="186"/>
        <v>14.166666666666666</v>
      </c>
      <c r="AB827" t="str">
        <f t="shared" si="185"/>
        <v>AC55A5</v>
      </c>
    </row>
    <row r="828" spans="14:28">
      <c r="N828">
        <v>826</v>
      </c>
      <c r="O828">
        <f t="shared" si="177"/>
        <v>260</v>
      </c>
      <c r="P828">
        <f t="shared" si="178"/>
        <v>8260</v>
      </c>
      <c r="Q828">
        <f t="shared" si="179"/>
        <v>200</v>
      </c>
      <c r="R828" s="4">
        <f t="shared" si="180"/>
        <v>800000</v>
      </c>
      <c r="S828" s="3">
        <f t="shared" si="181"/>
        <v>200</v>
      </c>
      <c r="T828" t="str">
        <f t="shared" si="182"/>
        <v>C3500</v>
      </c>
      <c r="V828">
        <v>826</v>
      </c>
      <c r="W828">
        <f t="shared" si="174"/>
        <v>1960</v>
      </c>
      <c r="X828">
        <f t="shared" si="176"/>
        <v>8260</v>
      </c>
      <c r="Y828">
        <f t="shared" si="175"/>
        <v>12.333333333333332</v>
      </c>
      <c r="Z828" s="4">
        <f t="shared" si="186"/>
        <v>12972972.972972974</v>
      </c>
      <c r="AA828" s="3">
        <f t="shared" si="186"/>
        <v>12.333333333333332</v>
      </c>
      <c r="AB828" t="str">
        <f t="shared" si="185"/>
        <v>C5F3AC</v>
      </c>
    </row>
    <row r="829" spans="14:28">
      <c r="N829">
        <v>827</v>
      </c>
      <c r="O829">
        <f t="shared" si="177"/>
        <v>270</v>
      </c>
      <c r="P829">
        <f t="shared" si="178"/>
        <v>8270</v>
      </c>
      <c r="Q829">
        <f t="shared" si="179"/>
        <v>200</v>
      </c>
      <c r="R829" s="4">
        <f t="shared" si="180"/>
        <v>800000</v>
      </c>
      <c r="S829" s="3">
        <f t="shared" si="181"/>
        <v>200</v>
      </c>
      <c r="T829" t="str">
        <f t="shared" si="182"/>
        <v>C3500</v>
      </c>
      <c r="V829">
        <v>827</v>
      </c>
      <c r="W829">
        <f t="shared" si="174"/>
        <v>1970</v>
      </c>
      <c r="X829">
        <f t="shared" si="176"/>
        <v>8270</v>
      </c>
      <c r="Y829">
        <f t="shared" si="175"/>
        <v>10.5</v>
      </c>
      <c r="Z829" s="4">
        <f t="shared" si="186"/>
        <v>15238095.238095239</v>
      </c>
      <c r="AA829" s="3">
        <f t="shared" si="186"/>
        <v>10.5</v>
      </c>
      <c r="AB829" t="str">
        <f t="shared" si="185"/>
        <v>E883CF</v>
      </c>
    </row>
    <row r="830" spans="14:28">
      <c r="N830">
        <v>828</v>
      </c>
      <c r="O830">
        <f t="shared" si="177"/>
        <v>280</v>
      </c>
      <c r="P830">
        <f t="shared" si="178"/>
        <v>8280</v>
      </c>
      <c r="Q830">
        <f t="shared" si="179"/>
        <v>200</v>
      </c>
      <c r="R830" s="4">
        <f t="shared" si="180"/>
        <v>800000</v>
      </c>
      <c r="S830" s="3">
        <f t="shared" si="181"/>
        <v>200</v>
      </c>
      <c r="T830" t="str">
        <f t="shared" si="182"/>
        <v>C3500</v>
      </c>
      <c r="V830">
        <v>828</v>
      </c>
      <c r="W830">
        <f t="shared" si="174"/>
        <v>1980</v>
      </c>
      <c r="X830">
        <f t="shared" si="176"/>
        <v>8280</v>
      </c>
      <c r="Y830">
        <f t="shared" si="175"/>
        <v>8.6666666666666661</v>
      </c>
      <c r="Z830" s="4">
        <f t="shared" si="186"/>
        <v>18461538.461538464</v>
      </c>
      <c r="AA830" s="3">
        <f t="shared" si="186"/>
        <v>8.6666666666666661</v>
      </c>
      <c r="AB830" t="str">
        <f t="shared" si="185"/>
        <v>119B362</v>
      </c>
    </row>
    <row r="831" spans="14:28">
      <c r="N831">
        <v>829</v>
      </c>
      <c r="O831">
        <f t="shared" si="177"/>
        <v>290</v>
      </c>
      <c r="P831">
        <f t="shared" si="178"/>
        <v>8290</v>
      </c>
      <c r="Q831">
        <f t="shared" si="179"/>
        <v>200</v>
      </c>
      <c r="R831" s="4">
        <f t="shared" si="180"/>
        <v>800000</v>
      </c>
      <c r="S831" s="3">
        <f t="shared" si="181"/>
        <v>200</v>
      </c>
      <c r="T831" t="str">
        <f t="shared" si="182"/>
        <v>C3500</v>
      </c>
      <c r="V831">
        <v>829</v>
      </c>
      <c r="W831">
        <f t="shared" ref="W831:W894" si="187">MOD(X831,$A$14+$A$15)</f>
        <v>1990</v>
      </c>
      <c r="X831">
        <f t="shared" si="176"/>
        <v>8290</v>
      </c>
      <c r="Y831">
        <f t="shared" ref="Y831:Y894" si="188">IF(W831&gt;$A$14,0,IF(W831&lt;$A$13,W831/($A$13)*($A$11-$A$12)+$A$12,IF($A$14-W831&lt;$A$13,($A$14-W831)/($A$13)*($A$11-$A$12)+$A$12,$A$11)))</f>
        <v>6.833333333333333</v>
      </c>
      <c r="Z831" s="4">
        <f t="shared" si="186"/>
        <v>23414634.146341465</v>
      </c>
      <c r="AA831" s="3">
        <f t="shared" si="186"/>
        <v>6.833333333333333</v>
      </c>
      <c r="AB831" t="str">
        <f t="shared" si="185"/>
        <v>165476A</v>
      </c>
    </row>
    <row r="832" spans="14:28">
      <c r="N832">
        <v>830</v>
      </c>
      <c r="O832">
        <f t="shared" si="177"/>
        <v>300</v>
      </c>
      <c r="P832">
        <f t="shared" si="178"/>
        <v>8300</v>
      </c>
      <c r="Q832">
        <f t="shared" si="179"/>
        <v>200</v>
      </c>
      <c r="R832" s="4">
        <f t="shared" si="180"/>
        <v>800000</v>
      </c>
      <c r="S832" s="3">
        <f t="shared" si="181"/>
        <v>200</v>
      </c>
      <c r="T832" t="str">
        <f t="shared" si="182"/>
        <v>C3500</v>
      </c>
      <c r="V832">
        <v>830</v>
      </c>
      <c r="W832">
        <f t="shared" si="187"/>
        <v>2000</v>
      </c>
      <c r="X832">
        <f t="shared" ref="X832:X895" si="189">V832*10</f>
        <v>8300</v>
      </c>
      <c r="Y832">
        <f t="shared" si="188"/>
        <v>5</v>
      </c>
      <c r="Z832" s="4">
        <f t="shared" si="186"/>
        <v>32000000</v>
      </c>
      <c r="AA832" s="3">
        <f t="shared" si="186"/>
        <v>5</v>
      </c>
      <c r="AB832" t="str">
        <f t="shared" si="185"/>
        <v>1E84800</v>
      </c>
    </row>
    <row r="833" spans="14:28">
      <c r="N833">
        <v>831</v>
      </c>
      <c r="O833">
        <f t="shared" si="177"/>
        <v>310</v>
      </c>
      <c r="P833">
        <f t="shared" si="178"/>
        <v>8310</v>
      </c>
      <c r="Q833">
        <f t="shared" si="179"/>
        <v>200</v>
      </c>
      <c r="R833" s="4">
        <f t="shared" si="180"/>
        <v>800000</v>
      </c>
      <c r="S833" s="3">
        <f t="shared" si="181"/>
        <v>200</v>
      </c>
      <c r="T833" t="str">
        <f t="shared" si="182"/>
        <v>C3500</v>
      </c>
      <c r="V833">
        <v>831</v>
      </c>
      <c r="W833">
        <f t="shared" si="187"/>
        <v>2010</v>
      </c>
      <c r="X833">
        <f t="shared" si="189"/>
        <v>8310</v>
      </c>
      <c r="Y833">
        <f t="shared" si="188"/>
        <v>0</v>
      </c>
      <c r="Z833" s="4">
        <f t="shared" si="186"/>
        <v>0</v>
      </c>
      <c r="AA833" s="3">
        <f t="shared" si="186"/>
        <v>0</v>
      </c>
      <c r="AB833" t="str">
        <f t="shared" si="185"/>
        <v>0</v>
      </c>
    </row>
    <row r="834" spans="14:28">
      <c r="N834">
        <v>832</v>
      </c>
      <c r="O834">
        <f t="shared" si="177"/>
        <v>320</v>
      </c>
      <c r="P834">
        <f t="shared" si="178"/>
        <v>8320</v>
      </c>
      <c r="Q834">
        <f t="shared" si="179"/>
        <v>200</v>
      </c>
      <c r="R834" s="4">
        <f t="shared" si="180"/>
        <v>800000</v>
      </c>
      <c r="S834" s="3">
        <f t="shared" si="181"/>
        <v>200</v>
      </c>
      <c r="T834" t="str">
        <f t="shared" si="182"/>
        <v>C3500</v>
      </c>
      <c r="V834">
        <v>832</v>
      </c>
      <c r="W834">
        <f t="shared" si="187"/>
        <v>2020</v>
      </c>
      <c r="X834">
        <f t="shared" si="189"/>
        <v>8320</v>
      </c>
      <c r="Y834">
        <f t="shared" si="188"/>
        <v>0</v>
      </c>
      <c r="Z834" s="4">
        <f t="shared" si="186"/>
        <v>0</v>
      </c>
      <c r="AA834" s="3">
        <f t="shared" si="186"/>
        <v>0</v>
      </c>
      <c r="AB834" t="str">
        <f t="shared" si="185"/>
        <v>0</v>
      </c>
    </row>
    <row r="835" spans="14:28">
      <c r="N835">
        <v>833</v>
      </c>
      <c r="O835">
        <f t="shared" ref="O835:O898" si="190">MOD(P835,$A$5+$A$6)</f>
        <v>330</v>
      </c>
      <c r="P835">
        <f t="shared" si="178"/>
        <v>8330</v>
      </c>
      <c r="Q835">
        <f t="shared" si="179"/>
        <v>200</v>
      </c>
      <c r="R835" s="4">
        <f t="shared" si="180"/>
        <v>800000</v>
      </c>
      <c r="S835" s="3">
        <f t="shared" si="181"/>
        <v>200</v>
      </c>
      <c r="T835" t="str">
        <f t="shared" si="182"/>
        <v>C3500</v>
      </c>
      <c r="V835">
        <v>833</v>
      </c>
      <c r="W835">
        <f t="shared" si="187"/>
        <v>2030</v>
      </c>
      <c r="X835">
        <f t="shared" si="189"/>
        <v>8330</v>
      </c>
      <c r="Y835">
        <f t="shared" si="188"/>
        <v>0</v>
      </c>
      <c r="Z835" s="4">
        <f t="shared" si="186"/>
        <v>0</v>
      </c>
      <c r="AA835" s="3">
        <f t="shared" si="186"/>
        <v>0</v>
      </c>
      <c r="AB835" t="str">
        <f t="shared" si="185"/>
        <v>0</v>
      </c>
    </row>
    <row r="836" spans="14:28">
      <c r="N836">
        <v>834</v>
      </c>
      <c r="O836">
        <f t="shared" si="190"/>
        <v>340</v>
      </c>
      <c r="P836">
        <f t="shared" si="178"/>
        <v>8340</v>
      </c>
      <c r="Q836">
        <f t="shared" si="179"/>
        <v>200</v>
      </c>
      <c r="R836" s="4">
        <f t="shared" si="180"/>
        <v>800000</v>
      </c>
      <c r="S836" s="3">
        <f t="shared" si="181"/>
        <v>200</v>
      </c>
      <c r="T836" t="str">
        <f t="shared" si="182"/>
        <v>C3500</v>
      </c>
      <c r="V836">
        <v>834</v>
      </c>
      <c r="W836">
        <f t="shared" si="187"/>
        <v>2040</v>
      </c>
      <c r="X836">
        <f t="shared" si="189"/>
        <v>8340</v>
      </c>
      <c r="Y836">
        <f t="shared" si="188"/>
        <v>0</v>
      </c>
      <c r="Z836" s="4">
        <f t="shared" si="186"/>
        <v>0</v>
      </c>
      <c r="AA836" s="3">
        <f t="shared" si="186"/>
        <v>0</v>
      </c>
      <c r="AB836" t="str">
        <f t="shared" si="185"/>
        <v>0</v>
      </c>
    </row>
    <row r="837" spans="14:28">
      <c r="N837">
        <v>835</v>
      </c>
      <c r="O837">
        <f t="shared" si="190"/>
        <v>350</v>
      </c>
      <c r="P837">
        <f t="shared" si="178"/>
        <v>8350</v>
      </c>
      <c r="Q837">
        <f t="shared" si="179"/>
        <v>200</v>
      </c>
      <c r="R837" s="4">
        <f t="shared" si="180"/>
        <v>800000</v>
      </c>
      <c r="S837" s="3">
        <f t="shared" si="181"/>
        <v>200</v>
      </c>
      <c r="T837" t="str">
        <f t="shared" si="182"/>
        <v>C3500</v>
      </c>
      <c r="V837">
        <v>835</v>
      </c>
      <c r="W837">
        <f t="shared" si="187"/>
        <v>2050</v>
      </c>
      <c r="X837">
        <f t="shared" si="189"/>
        <v>8350</v>
      </c>
      <c r="Y837">
        <f t="shared" si="188"/>
        <v>0</v>
      </c>
      <c r="Z837" s="4">
        <f t="shared" si="186"/>
        <v>0</v>
      </c>
      <c r="AA837" s="3">
        <f t="shared" si="186"/>
        <v>0</v>
      </c>
      <c r="AB837" t="str">
        <f t="shared" si="185"/>
        <v>0</v>
      </c>
    </row>
    <row r="838" spans="14:28">
      <c r="N838">
        <v>836</v>
      </c>
      <c r="O838">
        <f t="shared" si="190"/>
        <v>360</v>
      </c>
      <c r="P838">
        <f t="shared" si="178"/>
        <v>8360</v>
      </c>
      <c r="Q838">
        <f t="shared" si="179"/>
        <v>200</v>
      </c>
      <c r="R838" s="4">
        <f t="shared" si="180"/>
        <v>800000</v>
      </c>
      <c r="S838" s="3">
        <f t="shared" si="181"/>
        <v>200</v>
      </c>
      <c r="T838" t="str">
        <f t="shared" si="182"/>
        <v>C3500</v>
      </c>
      <c r="V838">
        <v>836</v>
      </c>
      <c r="W838">
        <f t="shared" si="187"/>
        <v>2060</v>
      </c>
      <c r="X838">
        <f t="shared" si="189"/>
        <v>8360</v>
      </c>
      <c r="Y838">
        <f t="shared" si="188"/>
        <v>0</v>
      </c>
      <c r="Z838" s="4">
        <f t="shared" si="186"/>
        <v>0</v>
      </c>
      <c r="AA838" s="3">
        <f t="shared" si="186"/>
        <v>0</v>
      </c>
      <c r="AB838" t="str">
        <f t="shared" si="185"/>
        <v>0</v>
      </c>
    </row>
    <row r="839" spans="14:28">
      <c r="N839">
        <v>837</v>
      </c>
      <c r="O839">
        <f t="shared" si="190"/>
        <v>370</v>
      </c>
      <c r="P839">
        <f t="shared" si="178"/>
        <v>8370</v>
      </c>
      <c r="Q839">
        <f t="shared" si="179"/>
        <v>200</v>
      </c>
      <c r="R839" s="4">
        <f t="shared" si="180"/>
        <v>800000</v>
      </c>
      <c r="S839" s="3">
        <f t="shared" si="181"/>
        <v>200</v>
      </c>
      <c r="T839" t="str">
        <f t="shared" si="182"/>
        <v>C3500</v>
      </c>
      <c r="V839">
        <v>837</v>
      </c>
      <c r="W839">
        <f t="shared" si="187"/>
        <v>2070</v>
      </c>
      <c r="X839">
        <f t="shared" si="189"/>
        <v>8370</v>
      </c>
      <c r="Y839">
        <f t="shared" si="188"/>
        <v>0</v>
      </c>
      <c r="Z839" s="4">
        <f t="shared" ref="Z839:AA858" si="191">IFERROR(160*1000*1000/Y839,0)</f>
        <v>0</v>
      </c>
      <c r="AA839" s="3">
        <f t="shared" si="191"/>
        <v>0</v>
      </c>
      <c r="AB839" t="str">
        <f t="shared" si="185"/>
        <v>0</v>
      </c>
    </row>
    <row r="840" spans="14:28">
      <c r="N840">
        <v>838</v>
      </c>
      <c r="O840">
        <f t="shared" si="190"/>
        <v>380</v>
      </c>
      <c r="P840">
        <f t="shared" si="178"/>
        <v>8380</v>
      </c>
      <c r="Q840">
        <f t="shared" si="179"/>
        <v>200</v>
      </c>
      <c r="R840" s="4">
        <f t="shared" si="180"/>
        <v>800000</v>
      </c>
      <c r="S840" s="3">
        <f t="shared" si="181"/>
        <v>200</v>
      </c>
      <c r="T840" t="str">
        <f t="shared" si="182"/>
        <v>C3500</v>
      </c>
      <c r="V840">
        <v>838</v>
      </c>
      <c r="W840">
        <f t="shared" si="187"/>
        <v>2080</v>
      </c>
      <c r="X840">
        <f t="shared" si="189"/>
        <v>8380</v>
      </c>
      <c r="Y840">
        <f t="shared" si="188"/>
        <v>0</v>
      </c>
      <c r="Z840" s="4">
        <f t="shared" si="191"/>
        <v>0</v>
      </c>
      <c r="AA840" s="3">
        <f t="shared" si="191"/>
        <v>0</v>
      </c>
      <c r="AB840" t="str">
        <f t="shared" si="185"/>
        <v>0</v>
      </c>
    </row>
    <row r="841" spans="14:28">
      <c r="N841">
        <v>839</v>
      </c>
      <c r="O841">
        <f t="shared" si="190"/>
        <v>390</v>
      </c>
      <c r="P841">
        <f t="shared" si="178"/>
        <v>8390</v>
      </c>
      <c r="Q841">
        <f t="shared" si="179"/>
        <v>200</v>
      </c>
      <c r="R841" s="4">
        <f t="shared" si="180"/>
        <v>800000</v>
      </c>
      <c r="S841" s="3">
        <f t="shared" si="181"/>
        <v>200</v>
      </c>
      <c r="T841" t="str">
        <f t="shared" si="182"/>
        <v>C3500</v>
      </c>
      <c r="V841">
        <v>839</v>
      </c>
      <c r="W841">
        <f t="shared" si="187"/>
        <v>2090</v>
      </c>
      <c r="X841">
        <f t="shared" si="189"/>
        <v>8390</v>
      </c>
      <c r="Y841">
        <f t="shared" si="188"/>
        <v>0</v>
      </c>
      <c r="Z841" s="4">
        <f t="shared" si="191"/>
        <v>0</v>
      </c>
      <c r="AA841" s="3">
        <f t="shared" si="191"/>
        <v>0</v>
      </c>
      <c r="AB841" t="str">
        <f t="shared" si="185"/>
        <v>0</v>
      </c>
    </row>
    <row r="842" spans="14:28">
      <c r="N842">
        <v>840</v>
      </c>
      <c r="O842">
        <f t="shared" si="190"/>
        <v>400</v>
      </c>
      <c r="P842">
        <f t="shared" si="178"/>
        <v>8400</v>
      </c>
      <c r="Q842">
        <f t="shared" si="179"/>
        <v>200</v>
      </c>
      <c r="R842" s="4">
        <f t="shared" si="180"/>
        <v>800000</v>
      </c>
      <c r="S842" s="3">
        <f t="shared" si="181"/>
        <v>200</v>
      </c>
      <c r="T842" t="str">
        <f t="shared" si="182"/>
        <v>C3500</v>
      </c>
      <c r="V842">
        <v>840</v>
      </c>
      <c r="W842">
        <f t="shared" si="187"/>
        <v>0</v>
      </c>
      <c r="X842">
        <f t="shared" si="189"/>
        <v>8400</v>
      </c>
      <c r="Y842">
        <f t="shared" si="188"/>
        <v>5</v>
      </c>
      <c r="Z842" s="4">
        <f t="shared" si="191"/>
        <v>32000000</v>
      </c>
      <c r="AA842" s="3">
        <f t="shared" si="191"/>
        <v>5</v>
      </c>
      <c r="AB842" t="str">
        <f t="shared" si="185"/>
        <v>1E84800</v>
      </c>
    </row>
    <row r="843" spans="14:28">
      <c r="N843">
        <v>841</v>
      </c>
      <c r="O843">
        <f t="shared" si="190"/>
        <v>410</v>
      </c>
      <c r="P843">
        <f t="shared" ref="P843:P906" si="192">N843*10</f>
        <v>8410</v>
      </c>
      <c r="Q843">
        <f t="shared" ref="Q843:Q906" si="193">IF(O843&gt;$A$5,0,IF(O843&lt;$A$4,O843/($A$4)*($A$2-$A$3)+$A$3,IF($A$5-O843&lt;$A$4,($A$5-O843)/($A$4)*($A$2-$A$3)+$A$3,$A$2)))</f>
        <v>200</v>
      </c>
      <c r="R843" s="4">
        <f t="shared" ref="R843:R906" si="194">IFERROR(160*1000*1000/Q843,0)</f>
        <v>800000</v>
      </c>
      <c r="S843" s="3">
        <f t="shared" ref="S843:S906" si="195">IFERROR(160*1000*1000/R843,0)</f>
        <v>200</v>
      </c>
      <c r="T843" t="str">
        <f t="shared" ref="T843:T906" si="196">DEC2HEX(R843)</f>
        <v>C3500</v>
      </c>
      <c r="V843">
        <v>841</v>
      </c>
      <c r="W843">
        <f t="shared" si="187"/>
        <v>10</v>
      </c>
      <c r="X843">
        <f t="shared" si="189"/>
        <v>8410</v>
      </c>
      <c r="Y843">
        <f t="shared" si="188"/>
        <v>6.833333333333333</v>
      </c>
      <c r="Z843" s="4">
        <f t="shared" si="191"/>
        <v>23414634.146341465</v>
      </c>
      <c r="AA843" s="3">
        <f t="shared" si="191"/>
        <v>6.833333333333333</v>
      </c>
      <c r="AB843" t="str">
        <f t="shared" si="185"/>
        <v>165476A</v>
      </c>
    </row>
    <row r="844" spans="14:28">
      <c r="N844">
        <v>842</v>
      </c>
      <c r="O844">
        <f t="shared" si="190"/>
        <v>420</v>
      </c>
      <c r="P844">
        <f t="shared" si="192"/>
        <v>8420</v>
      </c>
      <c r="Q844">
        <f t="shared" si="193"/>
        <v>200</v>
      </c>
      <c r="R844" s="4">
        <f t="shared" si="194"/>
        <v>800000</v>
      </c>
      <c r="S844" s="3">
        <f t="shared" si="195"/>
        <v>200</v>
      </c>
      <c r="T844" t="str">
        <f t="shared" si="196"/>
        <v>C3500</v>
      </c>
      <c r="V844">
        <v>842</v>
      </c>
      <c r="W844">
        <f t="shared" si="187"/>
        <v>20</v>
      </c>
      <c r="X844">
        <f t="shared" si="189"/>
        <v>8420</v>
      </c>
      <c r="Y844">
        <f t="shared" si="188"/>
        <v>8.6666666666666661</v>
      </c>
      <c r="Z844" s="4">
        <f t="shared" si="191"/>
        <v>18461538.461538464</v>
      </c>
      <c r="AA844" s="3">
        <f t="shared" si="191"/>
        <v>8.6666666666666661</v>
      </c>
      <c r="AB844" t="str">
        <f t="shared" si="185"/>
        <v>119B362</v>
      </c>
    </row>
    <row r="845" spans="14:28">
      <c r="N845">
        <v>843</v>
      </c>
      <c r="O845">
        <f t="shared" si="190"/>
        <v>430</v>
      </c>
      <c r="P845">
        <f t="shared" si="192"/>
        <v>8430</v>
      </c>
      <c r="Q845">
        <f t="shared" si="193"/>
        <v>200</v>
      </c>
      <c r="R845" s="4">
        <f t="shared" si="194"/>
        <v>800000</v>
      </c>
      <c r="S845" s="3">
        <f t="shared" si="195"/>
        <v>200</v>
      </c>
      <c r="T845" t="str">
        <f t="shared" si="196"/>
        <v>C3500</v>
      </c>
      <c r="V845">
        <v>843</v>
      </c>
      <c r="W845">
        <f t="shared" si="187"/>
        <v>30</v>
      </c>
      <c r="X845">
        <f t="shared" si="189"/>
        <v>8430</v>
      </c>
      <c r="Y845">
        <f t="shared" si="188"/>
        <v>10.5</v>
      </c>
      <c r="Z845" s="4">
        <f t="shared" si="191"/>
        <v>15238095.238095239</v>
      </c>
      <c r="AA845" s="3">
        <f t="shared" si="191"/>
        <v>10.5</v>
      </c>
      <c r="AB845" t="str">
        <f t="shared" si="185"/>
        <v>E883CF</v>
      </c>
    </row>
    <row r="846" spans="14:28">
      <c r="N846">
        <v>844</v>
      </c>
      <c r="O846">
        <f t="shared" si="190"/>
        <v>440</v>
      </c>
      <c r="P846">
        <f t="shared" si="192"/>
        <v>8440</v>
      </c>
      <c r="Q846">
        <f t="shared" si="193"/>
        <v>200</v>
      </c>
      <c r="R846" s="4">
        <f t="shared" si="194"/>
        <v>800000</v>
      </c>
      <c r="S846" s="3">
        <f t="shared" si="195"/>
        <v>200</v>
      </c>
      <c r="T846" t="str">
        <f t="shared" si="196"/>
        <v>C3500</v>
      </c>
      <c r="V846">
        <v>844</v>
      </c>
      <c r="W846">
        <f t="shared" si="187"/>
        <v>40</v>
      </c>
      <c r="X846">
        <f t="shared" si="189"/>
        <v>8440</v>
      </c>
      <c r="Y846">
        <f t="shared" si="188"/>
        <v>12.333333333333332</v>
      </c>
      <c r="Z846" s="4">
        <f t="shared" si="191"/>
        <v>12972972.972972974</v>
      </c>
      <c r="AA846" s="3">
        <f t="shared" si="191"/>
        <v>12.333333333333332</v>
      </c>
      <c r="AB846" t="str">
        <f t="shared" si="185"/>
        <v>C5F3AC</v>
      </c>
    </row>
    <row r="847" spans="14:28">
      <c r="N847">
        <v>845</v>
      </c>
      <c r="O847">
        <f t="shared" si="190"/>
        <v>450</v>
      </c>
      <c r="P847">
        <f t="shared" si="192"/>
        <v>8450</v>
      </c>
      <c r="Q847">
        <f t="shared" si="193"/>
        <v>200</v>
      </c>
      <c r="R847" s="4">
        <f t="shared" si="194"/>
        <v>800000</v>
      </c>
      <c r="S847" s="3">
        <f t="shared" si="195"/>
        <v>200</v>
      </c>
      <c r="T847" t="str">
        <f t="shared" si="196"/>
        <v>C3500</v>
      </c>
      <c r="V847">
        <v>845</v>
      </c>
      <c r="W847">
        <f t="shared" si="187"/>
        <v>50</v>
      </c>
      <c r="X847">
        <f t="shared" si="189"/>
        <v>8450</v>
      </c>
      <c r="Y847">
        <f t="shared" si="188"/>
        <v>14.166666666666666</v>
      </c>
      <c r="Z847" s="4">
        <f t="shared" si="191"/>
        <v>11294117.647058824</v>
      </c>
      <c r="AA847" s="3">
        <f t="shared" si="191"/>
        <v>14.166666666666666</v>
      </c>
      <c r="AB847" t="str">
        <f t="shared" si="185"/>
        <v>AC55A5</v>
      </c>
    </row>
    <row r="848" spans="14:28">
      <c r="N848">
        <v>846</v>
      </c>
      <c r="O848">
        <f t="shared" si="190"/>
        <v>460</v>
      </c>
      <c r="P848">
        <f t="shared" si="192"/>
        <v>8460</v>
      </c>
      <c r="Q848">
        <f t="shared" si="193"/>
        <v>200</v>
      </c>
      <c r="R848" s="4">
        <f t="shared" si="194"/>
        <v>800000</v>
      </c>
      <c r="S848" s="3">
        <f t="shared" si="195"/>
        <v>200</v>
      </c>
      <c r="T848" t="str">
        <f t="shared" si="196"/>
        <v>C3500</v>
      </c>
      <c r="V848">
        <v>846</v>
      </c>
      <c r="W848">
        <f t="shared" si="187"/>
        <v>60</v>
      </c>
      <c r="X848">
        <f t="shared" si="189"/>
        <v>8460</v>
      </c>
      <c r="Y848">
        <f t="shared" si="188"/>
        <v>16</v>
      </c>
      <c r="Z848" s="4">
        <f t="shared" si="191"/>
        <v>10000000</v>
      </c>
      <c r="AA848" s="3">
        <f t="shared" si="191"/>
        <v>16</v>
      </c>
      <c r="AB848" t="str">
        <f t="shared" si="185"/>
        <v>989680</v>
      </c>
    </row>
    <row r="849" spans="14:28">
      <c r="N849">
        <v>847</v>
      </c>
      <c r="O849">
        <f t="shared" si="190"/>
        <v>470</v>
      </c>
      <c r="P849">
        <f t="shared" si="192"/>
        <v>8470</v>
      </c>
      <c r="Q849">
        <f t="shared" si="193"/>
        <v>200</v>
      </c>
      <c r="R849" s="4">
        <f t="shared" si="194"/>
        <v>800000</v>
      </c>
      <c r="S849" s="3">
        <f t="shared" si="195"/>
        <v>200</v>
      </c>
      <c r="T849" t="str">
        <f t="shared" si="196"/>
        <v>C3500</v>
      </c>
      <c r="V849">
        <v>847</v>
      </c>
      <c r="W849">
        <f t="shared" si="187"/>
        <v>70</v>
      </c>
      <c r="X849">
        <f t="shared" si="189"/>
        <v>8470</v>
      </c>
      <c r="Y849">
        <f t="shared" si="188"/>
        <v>17.833333333333336</v>
      </c>
      <c r="Z849" s="4">
        <f t="shared" si="191"/>
        <v>8971962.616822429</v>
      </c>
      <c r="AA849" s="3">
        <f t="shared" si="191"/>
        <v>17.833333333333336</v>
      </c>
      <c r="AB849" t="str">
        <f t="shared" si="185"/>
        <v>88E6BA</v>
      </c>
    </row>
    <row r="850" spans="14:28">
      <c r="N850">
        <v>848</v>
      </c>
      <c r="O850">
        <f t="shared" si="190"/>
        <v>480</v>
      </c>
      <c r="P850">
        <f t="shared" si="192"/>
        <v>8480</v>
      </c>
      <c r="Q850">
        <f t="shared" si="193"/>
        <v>200</v>
      </c>
      <c r="R850" s="4">
        <f t="shared" si="194"/>
        <v>800000</v>
      </c>
      <c r="S850" s="3">
        <f t="shared" si="195"/>
        <v>200</v>
      </c>
      <c r="T850" t="str">
        <f t="shared" si="196"/>
        <v>C3500</v>
      </c>
      <c r="V850">
        <v>848</v>
      </c>
      <c r="W850">
        <f t="shared" si="187"/>
        <v>80</v>
      </c>
      <c r="X850">
        <f t="shared" si="189"/>
        <v>8480</v>
      </c>
      <c r="Y850">
        <f t="shared" si="188"/>
        <v>19.666666666666664</v>
      </c>
      <c r="Z850" s="4">
        <f t="shared" si="191"/>
        <v>8135593.2203389844</v>
      </c>
      <c r="AA850" s="3">
        <f t="shared" si="191"/>
        <v>19.666666666666664</v>
      </c>
      <c r="AB850" t="str">
        <f t="shared" si="185"/>
        <v>7C23A9</v>
      </c>
    </row>
    <row r="851" spans="14:28">
      <c r="N851">
        <v>849</v>
      </c>
      <c r="O851">
        <f t="shared" si="190"/>
        <v>490</v>
      </c>
      <c r="P851">
        <f t="shared" si="192"/>
        <v>8490</v>
      </c>
      <c r="Q851">
        <f t="shared" si="193"/>
        <v>200</v>
      </c>
      <c r="R851" s="4">
        <f t="shared" si="194"/>
        <v>800000</v>
      </c>
      <c r="S851" s="3">
        <f t="shared" si="195"/>
        <v>200</v>
      </c>
      <c r="T851" t="str">
        <f t="shared" si="196"/>
        <v>C3500</v>
      </c>
      <c r="V851">
        <v>849</v>
      </c>
      <c r="W851">
        <f t="shared" si="187"/>
        <v>90</v>
      </c>
      <c r="X851">
        <f t="shared" si="189"/>
        <v>8490</v>
      </c>
      <c r="Y851">
        <f t="shared" si="188"/>
        <v>21.5</v>
      </c>
      <c r="Z851" s="4">
        <f t="shared" si="191"/>
        <v>7441860.4651162792</v>
      </c>
      <c r="AA851" s="3">
        <f t="shared" si="191"/>
        <v>21.5</v>
      </c>
      <c r="AB851" t="str">
        <f t="shared" si="185"/>
        <v>718DC4</v>
      </c>
    </row>
    <row r="852" spans="14:28">
      <c r="N852">
        <v>850</v>
      </c>
      <c r="O852">
        <f t="shared" si="190"/>
        <v>500</v>
      </c>
      <c r="P852">
        <f t="shared" si="192"/>
        <v>8500</v>
      </c>
      <c r="Q852">
        <f t="shared" si="193"/>
        <v>200</v>
      </c>
      <c r="R852" s="4">
        <f t="shared" si="194"/>
        <v>800000</v>
      </c>
      <c r="S852" s="3">
        <f t="shared" si="195"/>
        <v>200</v>
      </c>
      <c r="T852" t="str">
        <f t="shared" si="196"/>
        <v>C3500</v>
      </c>
      <c r="V852">
        <v>850</v>
      </c>
      <c r="W852">
        <f t="shared" si="187"/>
        <v>100</v>
      </c>
      <c r="X852">
        <f t="shared" si="189"/>
        <v>8500</v>
      </c>
      <c r="Y852">
        <f t="shared" si="188"/>
        <v>23.333333333333332</v>
      </c>
      <c r="Z852" s="4">
        <f t="shared" si="191"/>
        <v>6857142.8571428573</v>
      </c>
      <c r="AA852" s="3">
        <f t="shared" si="191"/>
        <v>23.333333333333332</v>
      </c>
      <c r="AB852" t="str">
        <f t="shared" si="185"/>
        <v>68A1B6</v>
      </c>
    </row>
    <row r="853" spans="14:28">
      <c r="N853">
        <v>851</v>
      </c>
      <c r="O853">
        <f t="shared" si="190"/>
        <v>510</v>
      </c>
      <c r="P853">
        <f t="shared" si="192"/>
        <v>8510</v>
      </c>
      <c r="Q853">
        <f t="shared" si="193"/>
        <v>200</v>
      </c>
      <c r="R853" s="4">
        <f t="shared" si="194"/>
        <v>800000</v>
      </c>
      <c r="S853" s="3">
        <f t="shared" si="195"/>
        <v>200</v>
      </c>
      <c r="T853" t="str">
        <f t="shared" si="196"/>
        <v>C3500</v>
      </c>
      <c r="V853">
        <v>851</v>
      </c>
      <c r="W853">
        <f t="shared" si="187"/>
        <v>110</v>
      </c>
      <c r="X853">
        <f t="shared" si="189"/>
        <v>8510</v>
      </c>
      <c r="Y853">
        <f t="shared" si="188"/>
        <v>25.166666666666664</v>
      </c>
      <c r="Z853" s="4">
        <f t="shared" si="191"/>
        <v>6357615.8940397361</v>
      </c>
      <c r="AA853" s="3">
        <f t="shared" si="191"/>
        <v>25.166666666666664</v>
      </c>
      <c r="AB853" t="str">
        <f t="shared" si="185"/>
        <v>61026F</v>
      </c>
    </row>
    <row r="854" spans="14:28">
      <c r="N854">
        <v>852</v>
      </c>
      <c r="O854">
        <f t="shared" si="190"/>
        <v>520</v>
      </c>
      <c r="P854">
        <f t="shared" si="192"/>
        <v>8520</v>
      </c>
      <c r="Q854">
        <f t="shared" si="193"/>
        <v>200</v>
      </c>
      <c r="R854" s="4">
        <f t="shared" si="194"/>
        <v>800000</v>
      </c>
      <c r="S854" s="3">
        <f t="shared" si="195"/>
        <v>200</v>
      </c>
      <c r="T854" t="str">
        <f t="shared" si="196"/>
        <v>C3500</v>
      </c>
      <c r="V854">
        <v>852</v>
      </c>
      <c r="W854">
        <f t="shared" si="187"/>
        <v>120</v>
      </c>
      <c r="X854">
        <f t="shared" si="189"/>
        <v>8520</v>
      </c>
      <c r="Y854">
        <f t="shared" si="188"/>
        <v>27</v>
      </c>
      <c r="Z854" s="4">
        <f t="shared" si="191"/>
        <v>5925925.9259259263</v>
      </c>
      <c r="AA854" s="3">
        <f t="shared" si="191"/>
        <v>27</v>
      </c>
      <c r="AB854" t="str">
        <f t="shared" si="185"/>
        <v>5A6C25</v>
      </c>
    </row>
    <row r="855" spans="14:28">
      <c r="N855">
        <v>853</v>
      </c>
      <c r="O855">
        <f t="shared" si="190"/>
        <v>530</v>
      </c>
      <c r="P855">
        <f t="shared" si="192"/>
        <v>8530</v>
      </c>
      <c r="Q855">
        <f t="shared" si="193"/>
        <v>200</v>
      </c>
      <c r="R855" s="4">
        <f t="shared" si="194"/>
        <v>800000</v>
      </c>
      <c r="S855" s="3">
        <f t="shared" si="195"/>
        <v>200</v>
      </c>
      <c r="T855" t="str">
        <f t="shared" si="196"/>
        <v>C3500</v>
      </c>
      <c r="V855">
        <v>853</v>
      </c>
      <c r="W855">
        <f t="shared" si="187"/>
        <v>130</v>
      </c>
      <c r="X855">
        <f t="shared" si="189"/>
        <v>8530</v>
      </c>
      <c r="Y855">
        <f t="shared" si="188"/>
        <v>28.833333333333336</v>
      </c>
      <c r="Z855" s="4">
        <f t="shared" si="191"/>
        <v>5549132.9479768779</v>
      </c>
      <c r="AA855" s="3">
        <f t="shared" si="191"/>
        <v>28.833333333333336</v>
      </c>
      <c r="AB855" t="str">
        <f t="shared" si="185"/>
        <v>54AC4C</v>
      </c>
    </row>
    <row r="856" spans="14:28">
      <c r="N856">
        <v>854</v>
      </c>
      <c r="O856">
        <f t="shared" si="190"/>
        <v>540</v>
      </c>
      <c r="P856">
        <f t="shared" si="192"/>
        <v>8540</v>
      </c>
      <c r="Q856">
        <f t="shared" si="193"/>
        <v>200</v>
      </c>
      <c r="R856" s="4">
        <f t="shared" si="194"/>
        <v>800000</v>
      </c>
      <c r="S856" s="3">
        <f t="shared" si="195"/>
        <v>200</v>
      </c>
      <c r="T856" t="str">
        <f t="shared" si="196"/>
        <v>C3500</v>
      </c>
      <c r="V856">
        <v>854</v>
      </c>
      <c r="W856">
        <f t="shared" si="187"/>
        <v>140</v>
      </c>
      <c r="X856">
        <f t="shared" si="189"/>
        <v>8540</v>
      </c>
      <c r="Y856">
        <f t="shared" si="188"/>
        <v>30.666666666666668</v>
      </c>
      <c r="Z856" s="4">
        <f t="shared" si="191"/>
        <v>5217391.3043478262</v>
      </c>
      <c r="AA856" s="3">
        <f t="shared" si="191"/>
        <v>30.666666666666668</v>
      </c>
      <c r="AB856" t="str">
        <f t="shared" si="185"/>
        <v>4F9C6F</v>
      </c>
    </row>
    <row r="857" spans="14:28">
      <c r="N857">
        <v>855</v>
      </c>
      <c r="O857">
        <f t="shared" si="190"/>
        <v>550</v>
      </c>
      <c r="P857">
        <f t="shared" si="192"/>
        <v>8550</v>
      </c>
      <c r="Q857">
        <f t="shared" si="193"/>
        <v>200</v>
      </c>
      <c r="R857" s="4">
        <f t="shared" si="194"/>
        <v>800000</v>
      </c>
      <c r="S857" s="3">
        <f t="shared" si="195"/>
        <v>200</v>
      </c>
      <c r="T857" t="str">
        <f t="shared" si="196"/>
        <v>C3500</v>
      </c>
      <c r="V857">
        <v>855</v>
      </c>
      <c r="W857">
        <f t="shared" si="187"/>
        <v>150</v>
      </c>
      <c r="X857">
        <f t="shared" si="189"/>
        <v>8550</v>
      </c>
      <c r="Y857">
        <f t="shared" si="188"/>
        <v>32.5</v>
      </c>
      <c r="Z857" s="4">
        <f t="shared" si="191"/>
        <v>4923076.923076923</v>
      </c>
      <c r="AA857" s="3">
        <f t="shared" si="191"/>
        <v>32.5</v>
      </c>
      <c r="AB857" t="str">
        <f t="shared" si="185"/>
        <v>4B1EC4</v>
      </c>
    </row>
    <row r="858" spans="14:28">
      <c r="N858">
        <v>856</v>
      </c>
      <c r="O858">
        <f t="shared" si="190"/>
        <v>560</v>
      </c>
      <c r="P858">
        <f t="shared" si="192"/>
        <v>8560</v>
      </c>
      <c r="Q858">
        <f t="shared" si="193"/>
        <v>200</v>
      </c>
      <c r="R858" s="4">
        <f t="shared" si="194"/>
        <v>800000</v>
      </c>
      <c r="S858" s="3">
        <f t="shared" si="195"/>
        <v>200</v>
      </c>
      <c r="T858" t="str">
        <f t="shared" si="196"/>
        <v>C3500</v>
      </c>
      <c r="V858">
        <v>856</v>
      </c>
      <c r="W858">
        <f t="shared" si="187"/>
        <v>160</v>
      </c>
      <c r="X858">
        <f t="shared" si="189"/>
        <v>8560</v>
      </c>
      <c r="Y858">
        <f t="shared" si="188"/>
        <v>34.333333333333329</v>
      </c>
      <c r="Z858" s="4">
        <f t="shared" si="191"/>
        <v>4660194.1747572822</v>
      </c>
      <c r="AA858" s="3">
        <f t="shared" si="191"/>
        <v>34.333333333333329</v>
      </c>
      <c r="AB858" t="str">
        <f t="shared" si="185"/>
        <v>471BE2</v>
      </c>
    </row>
    <row r="859" spans="14:28">
      <c r="N859">
        <v>857</v>
      </c>
      <c r="O859">
        <f t="shared" si="190"/>
        <v>570</v>
      </c>
      <c r="P859">
        <f t="shared" si="192"/>
        <v>8570</v>
      </c>
      <c r="Q859">
        <f t="shared" si="193"/>
        <v>200</v>
      </c>
      <c r="R859" s="4">
        <f t="shared" si="194"/>
        <v>800000</v>
      </c>
      <c r="S859" s="3">
        <f t="shared" si="195"/>
        <v>200</v>
      </c>
      <c r="T859" t="str">
        <f t="shared" si="196"/>
        <v>C3500</v>
      </c>
      <c r="V859">
        <v>857</v>
      </c>
      <c r="W859">
        <f t="shared" si="187"/>
        <v>170</v>
      </c>
      <c r="X859">
        <f t="shared" si="189"/>
        <v>8570</v>
      </c>
      <c r="Y859">
        <f t="shared" si="188"/>
        <v>36.166666666666664</v>
      </c>
      <c r="Z859" s="4">
        <f t="shared" ref="Z859:AA878" si="197">IFERROR(160*1000*1000/Y859,0)</f>
        <v>4423963.1336405529</v>
      </c>
      <c r="AA859" s="3">
        <f t="shared" si="197"/>
        <v>36.166666666666664</v>
      </c>
      <c r="AB859" t="str">
        <f t="shared" si="185"/>
        <v>43811B</v>
      </c>
    </row>
    <row r="860" spans="14:28">
      <c r="N860">
        <v>858</v>
      </c>
      <c r="O860">
        <f t="shared" si="190"/>
        <v>580</v>
      </c>
      <c r="P860">
        <f t="shared" si="192"/>
        <v>8580</v>
      </c>
      <c r="Q860">
        <f t="shared" si="193"/>
        <v>200</v>
      </c>
      <c r="R860" s="4">
        <f t="shared" si="194"/>
        <v>800000</v>
      </c>
      <c r="S860" s="3">
        <f t="shared" si="195"/>
        <v>200</v>
      </c>
      <c r="T860" t="str">
        <f t="shared" si="196"/>
        <v>C3500</v>
      </c>
      <c r="V860">
        <v>858</v>
      </c>
      <c r="W860">
        <f t="shared" si="187"/>
        <v>180</v>
      </c>
      <c r="X860">
        <f t="shared" si="189"/>
        <v>8580</v>
      </c>
      <c r="Y860">
        <f t="shared" si="188"/>
        <v>38</v>
      </c>
      <c r="Z860" s="4">
        <f t="shared" si="197"/>
        <v>4210526.3157894732</v>
      </c>
      <c r="AA860" s="3">
        <f t="shared" si="197"/>
        <v>38.000000000000007</v>
      </c>
      <c r="AB860" t="str">
        <f t="shared" si="185"/>
        <v>403F5E</v>
      </c>
    </row>
    <row r="861" spans="14:28">
      <c r="N861">
        <v>859</v>
      </c>
      <c r="O861">
        <f t="shared" si="190"/>
        <v>590</v>
      </c>
      <c r="P861">
        <f t="shared" si="192"/>
        <v>8590</v>
      </c>
      <c r="Q861">
        <f t="shared" si="193"/>
        <v>200</v>
      </c>
      <c r="R861" s="4">
        <f t="shared" si="194"/>
        <v>800000</v>
      </c>
      <c r="S861" s="3">
        <f t="shared" si="195"/>
        <v>200</v>
      </c>
      <c r="T861" t="str">
        <f t="shared" si="196"/>
        <v>C3500</v>
      </c>
      <c r="V861">
        <v>859</v>
      </c>
      <c r="W861">
        <f t="shared" si="187"/>
        <v>190</v>
      </c>
      <c r="X861">
        <f t="shared" si="189"/>
        <v>8590</v>
      </c>
      <c r="Y861">
        <f t="shared" si="188"/>
        <v>39.833333333333329</v>
      </c>
      <c r="Z861" s="4">
        <f t="shared" si="197"/>
        <v>4016736.4016736406</v>
      </c>
      <c r="AA861" s="3">
        <f t="shared" si="197"/>
        <v>39.833333333333329</v>
      </c>
      <c r="AB861" t="str">
        <f t="shared" si="185"/>
        <v>3D4A60</v>
      </c>
    </row>
    <row r="862" spans="14:28">
      <c r="N862">
        <v>860</v>
      </c>
      <c r="O862">
        <f t="shared" si="190"/>
        <v>600</v>
      </c>
      <c r="P862">
        <f t="shared" si="192"/>
        <v>8600</v>
      </c>
      <c r="Q862">
        <f t="shared" si="193"/>
        <v>200</v>
      </c>
      <c r="R862" s="4">
        <f t="shared" si="194"/>
        <v>800000</v>
      </c>
      <c r="S862" s="3">
        <f t="shared" si="195"/>
        <v>200</v>
      </c>
      <c r="T862" t="str">
        <f t="shared" si="196"/>
        <v>C3500</v>
      </c>
      <c r="V862">
        <v>860</v>
      </c>
      <c r="W862">
        <f t="shared" si="187"/>
        <v>200</v>
      </c>
      <c r="X862">
        <f t="shared" si="189"/>
        <v>8600</v>
      </c>
      <c r="Y862">
        <f t="shared" si="188"/>
        <v>41.666666666666664</v>
      </c>
      <c r="Z862" s="4">
        <f t="shared" si="197"/>
        <v>3840000</v>
      </c>
      <c r="AA862" s="3">
        <f t="shared" si="197"/>
        <v>41.666666666666664</v>
      </c>
      <c r="AB862" t="str">
        <f t="shared" si="185"/>
        <v>3A9800</v>
      </c>
    </row>
    <row r="863" spans="14:28">
      <c r="N863">
        <v>861</v>
      </c>
      <c r="O863">
        <f t="shared" si="190"/>
        <v>610</v>
      </c>
      <c r="P863">
        <f t="shared" si="192"/>
        <v>8610</v>
      </c>
      <c r="Q863">
        <f t="shared" si="193"/>
        <v>200</v>
      </c>
      <c r="R863" s="4">
        <f t="shared" si="194"/>
        <v>800000</v>
      </c>
      <c r="S863" s="3">
        <f t="shared" si="195"/>
        <v>200</v>
      </c>
      <c r="T863" t="str">
        <f t="shared" si="196"/>
        <v>C3500</v>
      </c>
      <c r="V863">
        <v>861</v>
      </c>
      <c r="W863">
        <f t="shared" si="187"/>
        <v>210</v>
      </c>
      <c r="X863">
        <f t="shared" si="189"/>
        <v>8610</v>
      </c>
      <c r="Y863">
        <f t="shared" si="188"/>
        <v>43.5</v>
      </c>
      <c r="Z863" s="4">
        <f t="shared" si="197"/>
        <v>3678160.9195402297</v>
      </c>
      <c r="AA863" s="3">
        <f t="shared" si="197"/>
        <v>43.5</v>
      </c>
      <c r="AB863" t="str">
        <f t="shared" si="185"/>
        <v>381FD0</v>
      </c>
    </row>
    <row r="864" spans="14:28">
      <c r="N864">
        <v>862</v>
      </c>
      <c r="O864">
        <f t="shared" si="190"/>
        <v>620</v>
      </c>
      <c r="P864">
        <f t="shared" si="192"/>
        <v>8620</v>
      </c>
      <c r="Q864">
        <f t="shared" si="193"/>
        <v>200</v>
      </c>
      <c r="R864" s="4">
        <f t="shared" si="194"/>
        <v>800000</v>
      </c>
      <c r="S864" s="3">
        <f t="shared" si="195"/>
        <v>200</v>
      </c>
      <c r="T864" t="str">
        <f t="shared" si="196"/>
        <v>C3500</v>
      </c>
      <c r="V864">
        <v>862</v>
      </c>
      <c r="W864">
        <f t="shared" si="187"/>
        <v>220</v>
      </c>
      <c r="X864">
        <f t="shared" si="189"/>
        <v>8620</v>
      </c>
      <c r="Y864">
        <f t="shared" si="188"/>
        <v>45.333333333333329</v>
      </c>
      <c r="Z864" s="4">
        <f t="shared" si="197"/>
        <v>3529411.7647058829</v>
      </c>
      <c r="AA864" s="3">
        <f t="shared" si="197"/>
        <v>45.333333333333329</v>
      </c>
      <c r="AB864" t="str">
        <f t="shared" si="185"/>
        <v>35DAC3</v>
      </c>
    </row>
    <row r="865" spans="14:28">
      <c r="N865">
        <v>863</v>
      </c>
      <c r="O865">
        <f t="shared" si="190"/>
        <v>630</v>
      </c>
      <c r="P865">
        <f t="shared" si="192"/>
        <v>8630</v>
      </c>
      <c r="Q865">
        <f t="shared" si="193"/>
        <v>200</v>
      </c>
      <c r="R865" s="4">
        <f t="shared" si="194"/>
        <v>800000</v>
      </c>
      <c r="S865" s="3">
        <f t="shared" si="195"/>
        <v>200</v>
      </c>
      <c r="T865" t="str">
        <f t="shared" si="196"/>
        <v>C3500</v>
      </c>
      <c r="V865">
        <v>863</v>
      </c>
      <c r="W865">
        <f t="shared" si="187"/>
        <v>230</v>
      </c>
      <c r="X865">
        <f t="shared" si="189"/>
        <v>8630</v>
      </c>
      <c r="Y865">
        <f t="shared" si="188"/>
        <v>47.166666666666671</v>
      </c>
      <c r="Z865" s="4">
        <f t="shared" si="197"/>
        <v>3392226.1484098937</v>
      </c>
      <c r="AA865" s="3">
        <f t="shared" si="197"/>
        <v>47.166666666666671</v>
      </c>
      <c r="AB865" t="str">
        <f t="shared" si="185"/>
        <v>33C2E2</v>
      </c>
    </row>
    <row r="866" spans="14:28">
      <c r="N866">
        <v>864</v>
      </c>
      <c r="O866">
        <f t="shared" si="190"/>
        <v>640</v>
      </c>
      <c r="P866">
        <f t="shared" si="192"/>
        <v>8640</v>
      </c>
      <c r="Q866">
        <f t="shared" si="193"/>
        <v>200</v>
      </c>
      <c r="R866" s="4">
        <f t="shared" si="194"/>
        <v>800000</v>
      </c>
      <c r="S866" s="3">
        <f t="shared" si="195"/>
        <v>200</v>
      </c>
      <c r="T866" t="str">
        <f t="shared" si="196"/>
        <v>C3500</v>
      </c>
      <c r="V866">
        <v>864</v>
      </c>
      <c r="W866">
        <f t="shared" si="187"/>
        <v>240</v>
      </c>
      <c r="X866">
        <f t="shared" si="189"/>
        <v>8640</v>
      </c>
      <c r="Y866">
        <f t="shared" si="188"/>
        <v>49</v>
      </c>
      <c r="Z866" s="4">
        <f t="shared" si="197"/>
        <v>3265306.1224489794</v>
      </c>
      <c r="AA866" s="3">
        <f t="shared" si="197"/>
        <v>49</v>
      </c>
      <c r="AB866" t="str">
        <f t="shared" ref="AB866:AB929" si="198">DEC2HEX(Z866)</f>
        <v>31D31A</v>
      </c>
    </row>
    <row r="867" spans="14:28">
      <c r="N867">
        <v>865</v>
      </c>
      <c r="O867">
        <f t="shared" si="190"/>
        <v>650</v>
      </c>
      <c r="P867">
        <f t="shared" si="192"/>
        <v>8650</v>
      </c>
      <c r="Q867">
        <f t="shared" si="193"/>
        <v>200</v>
      </c>
      <c r="R867" s="4">
        <f t="shared" si="194"/>
        <v>800000</v>
      </c>
      <c r="S867" s="3">
        <f t="shared" si="195"/>
        <v>200</v>
      </c>
      <c r="T867" t="str">
        <f t="shared" si="196"/>
        <v>C3500</v>
      </c>
      <c r="V867">
        <v>865</v>
      </c>
      <c r="W867">
        <f t="shared" si="187"/>
        <v>250</v>
      </c>
      <c r="X867">
        <f t="shared" si="189"/>
        <v>8650</v>
      </c>
      <c r="Y867">
        <f t="shared" si="188"/>
        <v>50.833333333333336</v>
      </c>
      <c r="Z867" s="4">
        <f t="shared" si="197"/>
        <v>3147540.9836065574</v>
      </c>
      <c r="AA867" s="3">
        <f t="shared" si="197"/>
        <v>50.833333333333336</v>
      </c>
      <c r="AB867" t="str">
        <f t="shared" si="198"/>
        <v>300714</v>
      </c>
    </row>
    <row r="868" spans="14:28">
      <c r="N868">
        <v>866</v>
      </c>
      <c r="O868">
        <f t="shared" si="190"/>
        <v>660</v>
      </c>
      <c r="P868">
        <f t="shared" si="192"/>
        <v>8660</v>
      </c>
      <c r="Q868">
        <f t="shared" si="193"/>
        <v>200</v>
      </c>
      <c r="R868" s="4">
        <f t="shared" si="194"/>
        <v>800000</v>
      </c>
      <c r="S868" s="3">
        <f t="shared" si="195"/>
        <v>200</v>
      </c>
      <c r="T868" t="str">
        <f t="shared" si="196"/>
        <v>C3500</v>
      </c>
      <c r="V868">
        <v>866</v>
      </c>
      <c r="W868">
        <f t="shared" si="187"/>
        <v>260</v>
      </c>
      <c r="X868">
        <f t="shared" si="189"/>
        <v>8660</v>
      </c>
      <c r="Y868">
        <f t="shared" si="188"/>
        <v>52.666666666666671</v>
      </c>
      <c r="Z868" s="4">
        <f t="shared" si="197"/>
        <v>3037974.6835443038</v>
      </c>
      <c r="AA868" s="3">
        <f t="shared" si="197"/>
        <v>52.666666666666664</v>
      </c>
      <c r="AB868" t="str">
        <f t="shared" si="198"/>
        <v>2E5B16</v>
      </c>
    </row>
    <row r="869" spans="14:28">
      <c r="N869">
        <v>867</v>
      </c>
      <c r="O869">
        <f t="shared" si="190"/>
        <v>670</v>
      </c>
      <c r="P869">
        <f t="shared" si="192"/>
        <v>8670</v>
      </c>
      <c r="Q869">
        <f t="shared" si="193"/>
        <v>200</v>
      </c>
      <c r="R869" s="4">
        <f t="shared" si="194"/>
        <v>800000</v>
      </c>
      <c r="S869" s="3">
        <f t="shared" si="195"/>
        <v>200</v>
      </c>
      <c r="T869" t="str">
        <f t="shared" si="196"/>
        <v>C3500</v>
      </c>
      <c r="V869">
        <v>867</v>
      </c>
      <c r="W869">
        <f t="shared" si="187"/>
        <v>270</v>
      </c>
      <c r="X869">
        <f t="shared" si="189"/>
        <v>8670</v>
      </c>
      <c r="Y869">
        <f t="shared" si="188"/>
        <v>54.5</v>
      </c>
      <c r="Z869" s="4">
        <f t="shared" si="197"/>
        <v>2935779.8165137614</v>
      </c>
      <c r="AA869" s="3">
        <f t="shared" si="197"/>
        <v>54.5</v>
      </c>
      <c r="AB869" t="str">
        <f t="shared" si="198"/>
        <v>2CCBE3</v>
      </c>
    </row>
    <row r="870" spans="14:28">
      <c r="N870">
        <v>868</v>
      </c>
      <c r="O870">
        <f t="shared" si="190"/>
        <v>680</v>
      </c>
      <c r="P870">
        <f t="shared" si="192"/>
        <v>8680</v>
      </c>
      <c r="Q870">
        <f t="shared" si="193"/>
        <v>200</v>
      </c>
      <c r="R870" s="4">
        <f t="shared" si="194"/>
        <v>800000</v>
      </c>
      <c r="S870" s="3">
        <f t="shared" si="195"/>
        <v>200</v>
      </c>
      <c r="T870" t="str">
        <f t="shared" si="196"/>
        <v>C3500</v>
      </c>
      <c r="V870">
        <v>868</v>
      </c>
      <c r="W870">
        <f t="shared" si="187"/>
        <v>280</v>
      </c>
      <c r="X870">
        <f t="shared" si="189"/>
        <v>8680</v>
      </c>
      <c r="Y870">
        <f t="shared" si="188"/>
        <v>56.333333333333336</v>
      </c>
      <c r="Z870" s="4">
        <f t="shared" si="197"/>
        <v>2840236.6863905326</v>
      </c>
      <c r="AA870" s="3">
        <f t="shared" si="197"/>
        <v>56.333333333333329</v>
      </c>
      <c r="AB870" t="str">
        <f t="shared" si="198"/>
        <v>2B56AC</v>
      </c>
    </row>
    <row r="871" spans="14:28">
      <c r="N871">
        <v>869</v>
      </c>
      <c r="O871">
        <f t="shared" si="190"/>
        <v>690</v>
      </c>
      <c r="P871">
        <f t="shared" si="192"/>
        <v>8690</v>
      </c>
      <c r="Q871">
        <f t="shared" si="193"/>
        <v>200</v>
      </c>
      <c r="R871" s="4">
        <f t="shared" si="194"/>
        <v>800000</v>
      </c>
      <c r="S871" s="3">
        <f t="shared" si="195"/>
        <v>200</v>
      </c>
      <c r="T871" t="str">
        <f t="shared" si="196"/>
        <v>C3500</v>
      </c>
      <c r="V871">
        <v>869</v>
      </c>
      <c r="W871">
        <f t="shared" si="187"/>
        <v>290</v>
      </c>
      <c r="X871">
        <f t="shared" si="189"/>
        <v>8690</v>
      </c>
      <c r="Y871">
        <f t="shared" si="188"/>
        <v>58.166666666666664</v>
      </c>
      <c r="Z871" s="4">
        <f t="shared" si="197"/>
        <v>2750716.3323782235</v>
      </c>
      <c r="AA871" s="3">
        <f t="shared" si="197"/>
        <v>58.166666666666664</v>
      </c>
      <c r="AB871" t="str">
        <f t="shared" si="198"/>
        <v>29F8FC</v>
      </c>
    </row>
    <row r="872" spans="14:28">
      <c r="N872">
        <v>870</v>
      </c>
      <c r="O872">
        <f t="shared" si="190"/>
        <v>700</v>
      </c>
      <c r="P872">
        <f t="shared" si="192"/>
        <v>8700</v>
      </c>
      <c r="Q872">
        <f t="shared" si="193"/>
        <v>200</v>
      </c>
      <c r="R872" s="4">
        <f t="shared" si="194"/>
        <v>800000</v>
      </c>
      <c r="S872" s="3">
        <f t="shared" si="195"/>
        <v>200</v>
      </c>
      <c r="T872" t="str">
        <f t="shared" si="196"/>
        <v>C3500</v>
      </c>
      <c r="V872">
        <v>870</v>
      </c>
      <c r="W872">
        <f t="shared" si="187"/>
        <v>300</v>
      </c>
      <c r="X872">
        <f t="shared" si="189"/>
        <v>8700</v>
      </c>
      <c r="Y872">
        <f t="shared" si="188"/>
        <v>60</v>
      </c>
      <c r="Z872" s="4">
        <f t="shared" si="197"/>
        <v>2666666.6666666665</v>
      </c>
      <c r="AA872" s="3">
        <f t="shared" si="197"/>
        <v>60</v>
      </c>
      <c r="AB872" t="str">
        <f t="shared" si="198"/>
        <v>28B0AA</v>
      </c>
    </row>
    <row r="873" spans="14:28">
      <c r="N873">
        <v>871</v>
      </c>
      <c r="O873">
        <f t="shared" si="190"/>
        <v>710</v>
      </c>
      <c r="P873">
        <f t="shared" si="192"/>
        <v>8710</v>
      </c>
      <c r="Q873">
        <f t="shared" si="193"/>
        <v>200</v>
      </c>
      <c r="R873" s="4">
        <f t="shared" si="194"/>
        <v>800000</v>
      </c>
      <c r="S873" s="3">
        <f t="shared" si="195"/>
        <v>200</v>
      </c>
      <c r="T873" t="str">
        <f t="shared" si="196"/>
        <v>C3500</v>
      </c>
      <c r="V873">
        <v>871</v>
      </c>
      <c r="W873">
        <f t="shared" si="187"/>
        <v>310</v>
      </c>
      <c r="X873">
        <f t="shared" si="189"/>
        <v>8710</v>
      </c>
      <c r="Y873">
        <f t="shared" si="188"/>
        <v>60</v>
      </c>
      <c r="Z873" s="4">
        <f t="shared" si="197"/>
        <v>2666666.6666666665</v>
      </c>
      <c r="AA873" s="3">
        <f t="shared" si="197"/>
        <v>60</v>
      </c>
      <c r="AB873" t="str">
        <f t="shared" si="198"/>
        <v>28B0AA</v>
      </c>
    </row>
    <row r="874" spans="14:28">
      <c r="N874">
        <v>872</v>
      </c>
      <c r="O874">
        <f t="shared" si="190"/>
        <v>720</v>
      </c>
      <c r="P874">
        <f t="shared" si="192"/>
        <v>8720</v>
      </c>
      <c r="Q874">
        <f t="shared" si="193"/>
        <v>200</v>
      </c>
      <c r="R874" s="4">
        <f t="shared" si="194"/>
        <v>800000</v>
      </c>
      <c r="S874" s="3">
        <f t="shared" si="195"/>
        <v>200</v>
      </c>
      <c r="T874" t="str">
        <f t="shared" si="196"/>
        <v>C3500</v>
      </c>
      <c r="V874">
        <v>872</v>
      </c>
      <c r="W874">
        <f t="shared" si="187"/>
        <v>320</v>
      </c>
      <c r="X874">
        <f t="shared" si="189"/>
        <v>8720</v>
      </c>
      <c r="Y874">
        <f t="shared" si="188"/>
        <v>60</v>
      </c>
      <c r="Z874" s="4">
        <f t="shared" si="197"/>
        <v>2666666.6666666665</v>
      </c>
      <c r="AA874" s="3">
        <f t="shared" si="197"/>
        <v>60</v>
      </c>
      <c r="AB874" t="str">
        <f t="shared" si="198"/>
        <v>28B0AA</v>
      </c>
    </row>
    <row r="875" spans="14:28">
      <c r="N875">
        <v>873</v>
      </c>
      <c r="O875">
        <f t="shared" si="190"/>
        <v>730</v>
      </c>
      <c r="P875">
        <f t="shared" si="192"/>
        <v>8730</v>
      </c>
      <c r="Q875">
        <f t="shared" si="193"/>
        <v>200</v>
      </c>
      <c r="R875" s="4">
        <f t="shared" si="194"/>
        <v>800000</v>
      </c>
      <c r="S875" s="3">
        <f t="shared" si="195"/>
        <v>200</v>
      </c>
      <c r="T875" t="str">
        <f t="shared" si="196"/>
        <v>C3500</v>
      </c>
      <c r="V875">
        <v>873</v>
      </c>
      <c r="W875">
        <f t="shared" si="187"/>
        <v>330</v>
      </c>
      <c r="X875">
        <f t="shared" si="189"/>
        <v>8730</v>
      </c>
      <c r="Y875">
        <f t="shared" si="188"/>
        <v>60</v>
      </c>
      <c r="Z875" s="4">
        <f t="shared" si="197"/>
        <v>2666666.6666666665</v>
      </c>
      <c r="AA875" s="3">
        <f t="shared" si="197"/>
        <v>60</v>
      </c>
      <c r="AB875" t="str">
        <f t="shared" si="198"/>
        <v>28B0AA</v>
      </c>
    </row>
    <row r="876" spans="14:28">
      <c r="N876">
        <v>874</v>
      </c>
      <c r="O876">
        <f t="shared" si="190"/>
        <v>740</v>
      </c>
      <c r="P876">
        <f t="shared" si="192"/>
        <v>8740</v>
      </c>
      <c r="Q876">
        <f t="shared" si="193"/>
        <v>200</v>
      </c>
      <c r="R876" s="4">
        <f t="shared" si="194"/>
        <v>800000</v>
      </c>
      <c r="S876" s="3">
        <f t="shared" si="195"/>
        <v>200</v>
      </c>
      <c r="T876" t="str">
        <f t="shared" si="196"/>
        <v>C3500</v>
      </c>
      <c r="V876">
        <v>874</v>
      </c>
      <c r="W876">
        <f t="shared" si="187"/>
        <v>340</v>
      </c>
      <c r="X876">
        <f t="shared" si="189"/>
        <v>8740</v>
      </c>
      <c r="Y876">
        <f t="shared" si="188"/>
        <v>60</v>
      </c>
      <c r="Z876" s="4">
        <f t="shared" si="197"/>
        <v>2666666.6666666665</v>
      </c>
      <c r="AA876" s="3">
        <f t="shared" si="197"/>
        <v>60</v>
      </c>
      <c r="AB876" t="str">
        <f t="shared" si="198"/>
        <v>28B0AA</v>
      </c>
    </row>
    <row r="877" spans="14:28">
      <c r="N877">
        <v>875</v>
      </c>
      <c r="O877">
        <f t="shared" si="190"/>
        <v>750</v>
      </c>
      <c r="P877">
        <f t="shared" si="192"/>
        <v>8750</v>
      </c>
      <c r="Q877">
        <f t="shared" si="193"/>
        <v>200</v>
      </c>
      <c r="R877" s="4">
        <f t="shared" si="194"/>
        <v>800000</v>
      </c>
      <c r="S877" s="3">
        <f t="shared" si="195"/>
        <v>200</v>
      </c>
      <c r="T877" t="str">
        <f t="shared" si="196"/>
        <v>C3500</v>
      </c>
      <c r="V877">
        <v>875</v>
      </c>
      <c r="W877">
        <f t="shared" si="187"/>
        <v>350</v>
      </c>
      <c r="X877">
        <f t="shared" si="189"/>
        <v>8750</v>
      </c>
      <c r="Y877">
        <f t="shared" si="188"/>
        <v>60</v>
      </c>
      <c r="Z877" s="4">
        <f t="shared" si="197"/>
        <v>2666666.6666666665</v>
      </c>
      <c r="AA877" s="3">
        <f t="shared" si="197"/>
        <v>60</v>
      </c>
      <c r="AB877" t="str">
        <f t="shared" si="198"/>
        <v>28B0AA</v>
      </c>
    </row>
    <row r="878" spans="14:28">
      <c r="N878">
        <v>876</v>
      </c>
      <c r="O878">
        <f t="shared" si="190"/>
        <v>760</v>
      </c>
      <c r="P878">
        <f t="shared" si="192"/>
        <v>8760</v>
      </c>
      <c r="Q878">
        <f t="shared" si="193"/>
        <v>200</v>
      </c>
      <c r="R878" s="4">
        <f t="shared" si="194"/>
        <v>800000</v>
      </c>
      <c r="S878" s="3">
        <f t="shared" si="195"/>
        <v>200</v>
      </c>
      <c r="T878" t="str">
        <f t="shared" si="196"/>
        <v>C3500</v>
      </c>
      <c r="V878">
        <v>876</v>
      </c>
      <c r="W878">
        <f t="shared" si="187"/>
        <v>360</v>
      </c>
      <c r="X878">
        <f t="shared" si="189"/>
        <v>8760</v>
      </c>
      <c r="Y878">
        <f t="shared" si="188"/>
        <v>60</v>
      </c>
      <c r="Z878" s="4">
        <f t="shared" si="197"/>
        <v>2666666.6666666665</v>
      </c>
      <c r="AA878" s="3">
        <f t="shared" si="197"/>
        <v>60</v>
      </c>
      <c r="AB878" t="str">
        <f t="shared" si="198"/>
        <v>28B0AA</v>
      </c>
    </row>
    <row r="879" spans="14:28">
      <c r="N879">
        <v>877</v>
      </c>
      <c r="O879">
        <f t="shared" si="190"/>
        <v>770</v>
      </c>
      <c r="P879">
        <f t="shared" si="192"/>
        <v>8770</v>
      </c>
      <c r="Q879">
        <f t="shared" si="193"/>
        <v>200</v>
      </c>
      <c r="R879" s="4">
        <f t="shared" si="194"/>
        <v>800000</v>
      </c>
      <c r="S879" s="3">
        <f t="shared" si="195"/>
        <v>200</v>
      </c>
      <c r="T879" t="str">
        <f t="shared" si="196"/>
        <v>C3500</v>
      </c>
      <c r="V879">
        <v>877</v>
      </c>
      <c r="W879">
        <f t="shared" si="187"/>
        <v>370</v>
      </c>
      <c r="X879">
        <f t="shared" si="189"/>
        <v>8770</v>
      </c>
      <c r="Y879">
        <f t="shared" si="188"/>
        <v>60</v>
      </c>
      <c r="Z879" s="4">
        <f t="shared" ref="Z879:AA898" si="199">IFERROR(160*1000*1000/Y879,0)</f>
        <v>2666666.6666666665</v>
      </c>
      <c r="AA879" s="3">
        <f t="shared" si="199"/>
        <v>60</v>
      </c>
      <c r="AB879" t="str">
        <f t="shared" si="198"/>
        <v>28B0AA</v>
      </c>
    </row>
    <row r="880" spans="14:28">
      <c r="N880">
        <v>878</v>
      </c>
      <c r="O880">
        <f t="shared" si="190"/>
        <v>780</v>
      </c>
      <c r="P880">
        <f t="shared" si="192"/>
        <v>8780</v>
      </c>
      <c r="Q880">
        <f t="shared" si="193"/>
        <v>200</v>
      </c>
      <c r="R880" s="4">
        <f t="shared" si="194"/>
        <v>800000</v>
      </c>
      <c r="S880" s="3">
        <f t="shared" si="195"/>
        <v>200</v>
      </c>
      <c r="T880" t="str">
        <f t="shared" si="196"/>
        <v>C3500</v>
      </c>
      <c r="V880">
        <v>878</v>
      </c>
      <c r="W880">
        <f t="shared" si="187"/>
        <v>380</v>
      </c>
      <c r="X880">
        <f t="shared" si="189"/>
        <v>8780</v>
      </c>
      <c r="Y880">
        <f t="shared" si="188"/>
        <v>60</v>
      </c>
      <c r="Z880" s="4">
        <f t="shared" si="199"/>
        <v>2666666.6666666665</v>
      </c>
      <c r="AA880" s="3">
        <f t="shared" si="199"/>
        <v>60</v>
      </c>
      <c r="AB880" t="str">
        <f t="shared" si="198"/>
        <v>28B0AA</v>
      </c>
    </row>
    <row r="881" spans="14:28">
      <c r="N881">
        <v>879</v>
      </c>
      <c r="O881">
        <f t="shared" si="190"/>
        <v>790</v>
      </c>
      <c r="P881">
        <f t="shared" si="192"/>
        <v>8790</v>
      </c>
      <c r="Q881">
        <f t="shared" si="193"/>
        <v>200</v>
      </c>
      <c r="R881" s="4">
        <f t="shared" si="194"/>
        <v>800000</v>
      </c>
      <c r="S881" s="3">
        <f t="shared" si="195"/>
        <v>200</v>
      </c>
      <c r="T881" t="str">
        <f t="shared" si="196"/>
        <v>C3500</v>
      </c>
      <c r="V881">
        <v>879</v>
      </c>
      <c r="W881">
        <f t="shared" si="187"/>
        <v>390</v>
      </c>
      <c r="X881">
        <f t="shared" si="189"/>
        <v>8790</v>
      </c>
      <c r="Y881">
        <f t="shared" si="188"/>
        <v>60</v>
      </c>
      <c r="Z881" s="4">
        <f t="shared" si="199"/>
        <v>2666666.6666666665</v>
      </c>
      <c r="AA881" s="3">
        <f t="shared" si="199"/>
        <v>60</v>
      </c>
      <c r="AB881" t="str">
        <f t="shared" si="198"/>
        <v>28B0AA</v>
      </c>
    </row>
    <row r="882" spans="14:28">
      <c r="N882">
        <v>880</v>
      </c>
      <c r="O882">
        <f t="shared" si="190"/>
        <v>800</v>
      </c>
      <c r="P882">
        <f t="shared" si="192"/>
        <v>8800</v>
      </c>
      <c r="Q882">
        <f t="shared" si="193"/>
        <v>200</v>
      </c>
      <c r="R882" s="4">
        <f t="shared" si="194"/>
        <v>800000</v>
      </c>
      <c r="S882" s="3">
        <f t="shared" si="195"/>
        <v>200</v>
      </c>
      <c r="T882" t="str">
        <f t="shared" si="196"/>
        <v>C3500</v>
      </c>
      <c r="V882">
        <v>880</v>
      </c>
      <c r="W882">
        <f t="shared" si="187"/>
        <v>400</v>
      </c>
      <c r="X882">
        <f t="shared" si="189"/>
        <v>8800</v>
      </c>
      <c r="Y882">
        <f t="shared" si="188"/>
        <v>60</v>
      </c>
      <c r="Z882" s="4">
        <f t="shared" si="199"/>
        <v>2666666.6666666665</v>
      </c>
      <c r="AA882" s="3">
        <f t="shared" si="199"/>
        <v>60</v>
      </c>
      <c r="AB882" t="str">
        <f t="shared" si="198"/>
        <v>28B0AA</v>
      </c>
    </row>
    <row r="883" spans="14:28">
      <c r="N883">
        <v>881</v>
      </c>
      <c r="O883">
        <f t="shared" si="190"/>
        <v>810</v>
      </c>
      <c r="P883">
        <f t="shared" si="192"/>
        <v>8810</v>
      </c>
      <c r="Q883">
        <f t="shared" si="193"/>
        <v>200</v>
      </c>
      <c r="R883" s="4">
        <f t="shared" si="194"/>
        <v>800000</v>
      </c>
      <c r="S883" s="3">
        <f t="shared" si="195"/>
        <v>200</v>
      </c>
      <c r="T883" t="str">
        <f t="shared" si="196"/>
        <v>C3500</v>
      </c>
      <c r="V883">
        <v>881</v>
      </c>
      <c r="W883">
        <f t="shared" si="187"/>
        <v>410</v>
      </c>
      <c r="X883">
        <f t="shared" si="189"/>
        <v>8810</v>
      </c>
      <c r="Y883">
        <f t="shared" si="188"/>
        <v>60</v>
      </c>
      <c r="Z883" s="4">
        <f t="shared" si="199"/>
        <v>2666666.6666666665</v>
      </c>
      <c r="AA883" s="3">
        <f t="shared" si="199"/>
        <v>60</v>
      </c>
      <c r="AB883" t="str">
        <f t="shared" si="198"/>
        <v>28B0AA</v>
      </c>
    </row>
    <row r="884" spans="14:28">
      <c r="N884">
        <v>882</v>
      </c>
      <c r="O884">
        <f t="shared" si="190"/>
        <v>820</v>
      </c>
      <c r="P884">
        <f t="shared" si="192"/>
        <v>8820</v>
      </c>
      <c r="Q884">
        <f t="shared" si="193"/>
        <v>200</v>
      </c>
      <c r="R884" s="4">
        <f t="shared" si="194"/>
        <v>800000</v>
      </c>
      <c r="S884" s="3">
        <f t="shared" si="195"/>
        <v>200</v>
      </c>
      <c r="T884" t="str">
        <f t="shared" si="196"/>
        <v>C3500</v>
      </c>
      <c r="V884">
        <v>882</v>
      </c>
      <c r="W884">
        <f t="shared" si="187"/>
        <v>420</v>
      </c>
      <c r="X884">
        <f t="shared" si="189"/>
        <v>8820</v>
      </c>
      <c r="Y884">
        <f t="shared" si="188"/>
        <v>60</v>
      </c>
      <c r="Z884" s="4">
        <f t="shared" si="199"/>
        <v>2666666.6666666665</v>
      </c>
      <c r="AA884" s="3">
        <f t="shared" si="199"/>
        <v>60</v>
      </c>
      <c r="AB884" t="str">
        <f t="shared" si="198"/>
        <v>28B0AA</v>
      </c>
    </row>
    <row r="885" spans="14:28">
      <c r="N885">
        <v>883</v>
      </c>
      <c r="O885">
        <f t="shared" si="190"/>
        <v>830</v>
      </c>
      <c r="P885">
        <f t="shared" si="192"/>
        <v>8830</v>
      </c>
      <c r="Q885">
        <f t="shared" si="193"/>
        <v>200</v>
      </c>
      <c r="R885" s="4">
        <f t="shared" si="194"/>
        <v>800000</v>
      </c>
      <c r="S885" s="3">
        <f t="shared" si="195"/>
        <v>200</v>
      </c>
      <c r="T885" t="str">
        <f t="shared" si="196"/>
        <v>C3500</v>
      </c>
      <c r="V885">
        <v>883</v>
      </c>
      <c r="W885">
        <f t="shared" si="187"/>
        <v>430</v>
      </c>
      <c r="X885">
        <f t="shared" si="189"/>
        <v>8830</v>
      </c>
      <c r="Y885">
        <f t="shared" si="188"/>
        <v>60</v>
      </c>
      <c r="Z885" s="4">
        <f t="shared" si="199"/>
        <v>2666666.6666666665</v>
      </c>
      <c r="AA885" s="3">
        <f t="shared" si="199"/>
        <v>60</v>
      </c>
      <c r="AB885" t="str">
        <f t="shared" si="198"/>
        <v>28B0AA</v>
      </c>
    </row>
    <row r="886" spans="14:28">
      <c r="N886">
        <v>884</v>
      </c>
      <c r="O886">
        <f t="shared" si="190"/>
        <v>840</v>
      </c>
      <c r="P886">
        <f t="shared" si="192"/>
        <v>8840</v>
      </c>
      <c r="Q886">
        <f t="shared" si="193"/>
        <v>200</v>
      </c>
      <c r="R886" s="4">
        <f t="shared" si="194"/>
        <v>800000</v>
      </c>
      <c r="S886" s="3">
        <f t="shared" si="195"/>
        <v>200</v>
      </c>
      <c r="T886" t="str">
        <f t="shared" si="196"/>
        <v>C3500</v>
      </c>
      <c r="V886">
        <v>884</v>
      </c>
      <c r="W886">
        <f t="shared" si="187"/>
        <v>440</v>
      </c>
      <c r="X886">
        <f t="shared" si="189"/>
        <v>8840</v>
      </c>
      <c r="Y886">
        <f t="shared" si="188"/>
        <v>60</v>
      </c>
      <c r="Z886" s="4">
        <f t="shared" si="199"/>
        <v>2666666.6666666665</v>
      </c>
      <c r="AA886" s="3">
        <f t="shared" si="199"/>
        <v>60</v>
      </c>
      <c r="AB886" t="str">
        <f t="shared" si="198"/>
        <v>28B0AA</v>
      </c>
    </row>
    <row r="887" spans="14:28">
      <c r="N887">
        <v>885</v>
      </c>
      <c r="O887">
        <f t="shared" si="190"/>
        <v>850</v>
      </c>
      <c r="P887">
        <f t="shared" si="192"/>
        <v>8850</v>
      </c>
      <c r="Q887">
        <f t="shared" si="193"/>
        <v>200</v>
      </c>
      <c r="R887" s="4">
        <f t="shared" si="194"/>
        <v>800000</v>
      </c>
      <c r="S887" s="3">
        <f t="shared" si="195"/>
        <v>200</v>
      </c>
      <c r="T887" t="str">
        <f t="shared" si="196"/>
        <v>C3500</v>
      </c>
      <c r="V887">
        <v>885</v>
      </c>
      <c r="W887">
        <f t="shared" si="187"/>
        <v>450</v>
      </c>
      <c r="X887">
        <f t="shared" si="189"/>
        <v>8850</v>
      </c>
      <c r="Y887">
        <f t="shared" si="188"/>
        <v>60</v>
      </c>
      <c r="Z887" s="4">
        <f t="shared" si="199"/>
        <v>2666666.6666666665</v>
      </c>
      <c r="AA887" s="3">
        <f t="shared" si="199"/>
        <v>60</v>
      </c>
      <c r="AB887" t="str">
        <f t="shared" si="198"/>
        <v>28B0AA</v>
      </c>
    </row>
    <row r="888" spans="14:28">
      <c r="N888">
        <v>886</v>
      </c>
      <c r="O888">
        <f t="shared" si="190"/>
        <v>860</v>
      </c>
      <c r="P888">
        <f t="shared" si="192"/>
        <v>8860</v>
      </c>
      <c r="Q888">
        <f t="shared" si="193"/>
        <v>200</v>
      </c>
      <c r="R888" s="4">
        <f t="shared" si="194"/>
        <v>800000</v>
      </c>
      <c r="S888" s="3">
        <f t="shared" si="195"/>
        <v>200</v>
      </c>
      <c r="T888" t="str">
        <f t="shared" si="196"/>
        <v>C3500</v>
      </c>
      <c r="V888">
        <v>886</v>
      </c>
      <c r="W888">
        <f t="shared" si="187"/>
        <v>460</v>
      </c>
      <c r="X888">
        <f t="shared" si="189"/>
        <v>8860</v>
      </c>
      <c r="Y888">
        <f t="shared" si="188"/>
        <v>60</v>
      </c>
      <c r="Z888" s="4">
        <f t="shared" si="199"/>
        <v>2666666.6666666665</v>
      </c>
      <c r="AA888" s="3">
        <f t="shared" si="199"/>
        <v>60</v>
      </c>
      <c r="AB888" t="str">
        <f t="shared" si="198"/>
        <v>28B0AA</v>
      </c>
    </row>
    <row r="889" spans="14:28">
      <c r="N889">
        <v>887</v>
      </c>
      <c r="O889">
        <f t="shared" si="190"/>
        <v>870</v>
      </c>
      <c r="P889">
        <f t="shared" si="192"/>
        <v>8870</v>
      </c>
      <c r="Q889">
        <f t="shared" si="193"/>
        <v>200</v>
      </c>
      <c r="R889" s="4">
        <f t="shared" si="194"/>
        <v>800000</v>
      </c>
      <c r="S889" s="3">
        <f t="shared" si="195"/>
        <v>200</v>
      </c>
      <c r="T889" t="str">
        <f t="shared" si="196"/>
        <v>C3500</v>
      </c>
      <c r="V889">
        <v>887</v>
      </c>
      <c r="W889">
        <f t="shared" si="187"/>
        <v>470</v>
      </c>
      <c r="X889">
        <f t="shared" si="189"/>
        <v>8870</v>
      </c>
      <c r="Y889">
        <f t="shared" si="188"/>
        <v>60</v>
      </c>
      <c r="Z889" s="4">
        <f t="shared" si="199"/>
        <v>2666666.6666666665</v>
      </c>
      <c r="AA889" s="3">
        <f t="shared" si="199"/>
        <v>60</v>
      </c>
      <c r="AB889" t="str">
        <f t="shared" si="198"/>
        <v>28B0AA</v>
      </c>
    </row>
    <row r="890" spans="14:28">
      <c r="N890">
        <v>888</v>
      </c>
      <c r="O890">
        <f t="shared" si="190"/>
        <v>880</v>
      </c>
      <c r="P890">
        <f t="shared" si="192"/>
        <v>8880</v>
      </c>
      <c r="Q890">
        <f t="shared" si="193"/>
        <v>200</v>
      </c>
      <c r="R890" s="4">
        <f t="shared" si="194"/>
        <v>800000</v>
      </c>
      <c r="S890" s="3">
        <f t="shared" si="195"/>
        <v>200</v>
      </c>
      <c r="T890" t="str">
        <f t="shared" si="196"/>
        <v>C3500</v>
      </c>
      <c r="V890">
        <v>888</v>
      </c>
      <c r="W890">
        <f t="shared" si="187"/>
        <v>480</v>
      </c>
      <c r="X890">
        <f t="shared" si="189"/>
        <v>8880</v>
      </c>
      <c r="Y890">
        <f t="shared" si="188"/>
        <v>60</v>
      </c>
      <c r="Z890" s="4">
        <f t="shared" si="199"/>
        <v>2666666.6666666665</v>
      </c>
      <c r="AA890" s="3">
        <f t="shared" si="199"/>
        <v>60</v>
      </c>
      <c r="AB890" t="str">
        <f t="shared" si="198"/>
        <v>28B0AA</v>
      </c>
    </row>
    <row r="891" spans="14:28">
      <c r="N891">
        <v>889</v>
      </c>
      <c r="O891">
        <f t="shared" si="190"/>
        <v>890</v>
      </c>
      <c r="P891">
        <f t="shared" si="192"/>
        <v>8890</v>
      </c>
      <c r="Q891">
        <f t="shared" si="193"/>
        <v>200</v>
      </c>
      <c r="R891" s="4">
        <f t="shared" si="194"/>
        <v>800000</v>
      </c>
      <c r="S891" s="3">
        <f t="shared" si="195"/>
        <v>200</v>
      </c>
      <c r="T891" t="str">
        <f t="shared" si="196"/>
        <v>C3500</v>
      </c>
      <c r="V891">
        <v>889</v>
      </c>
      <c r="W891">
        <f t="shared" si="187"/>
        <v>490</v>
      </c>
      <c r="X891">
        <f t="shared" si="189"/>
        <v>8890</v>
      </c>
      <c r="Y891">
        <f t="shared" si="188"/>
        <v>60</v>
      </c>
      <c r="Z891" s="4">
        <f t="shared" si="199"/>
        <v>2666666.6666666665</v>
      </c>
      <c r="AA891" s="3">
        <f t="shared" si="199"/>
        <v>60</v>
      </c>
      <c r="AB891" t="str">
        <f t="shared" si="198"/>
        <v>28B0AA</v>
      </c>
    </row>
    <row r="892" spans="14:28">
      <c r="N892">
        <v>890</v>
      </c>
      <c r="O892">
        <f t="shared" si="190"/>
        <v>900</v>
      </c>
      <c r="P892">
        <f t="shared" si="192"/>
        <v>8900</v>
      </c>
      <c r="Q892">
        <f t="shared" si="193"/>
        <v>200</v>
      </c>
      <c r="R892" s="4">
        <f t="shared" si="194"/>
        <v>800000</v>
      </c>
      <c r="S892" s="3">
        <f t="shared" si="195"/>
        <v>200</v>
      </c>
      <c r="T892" t="str">
        <f t="shared" si="196"/>
        <v>C3500</v>
      </c>
      <c r="V892">
        <v>890</v>
      </c>
      <c r="W892">
        <f t="shared" si="187"/>
        <v>500</v>
      </c>
      <c r="X892">
        <f t="shared" si="189"/>
        <v>8900</v>
      </c>
      <c r="Y892">
        <f t="shared" si="188"/>
        <v>60</v>
      </c>
      <c r="Z892" s="4">
        <f t="shared" si="199"/>
        <v>2666666.6666666665</v>
      </c>
      <c r="AA892" s="3">
        <f t="shared" si="199"/>
        <v>60</v>
      </c>
      <c r="AB892" t="str">
        <f t="shared" si="198"/>
        <v>28B0AA</v>
      </c>
    </row>
    <row r="893" spans="14:28">
      <c r="N893">
        <v>891</v>
      </c>
      <c r="O893">
        <f t="shared" si="190"/>
        <v>910</v>
      </c>
      <c r="P893">
        <f t="shared" si="192"/>
        <v>8910</v>
      </c>
      <c r="Q893">
        <f t="shared" si="193"/>
        <v>200</v>
      </c>
      <c r="R893" s="4">
        <f t="shared" si="194"/>
        <v>800000</v>
      </c>
      <c r="S893" s="3">
        <f t="shared" si="195"/>
        <v>200</v>
      </c>
      <c r="T893" t="str">
        <f t="shared" si="196"/>
        <v>C3500</v>
      </c>
      <c r="V893">
        <v>891</v>
      </c>
      <c r="W893">
        <f t="shared" si="187"/>
        <v>510</v>
      </c>
      <c r="X893">
        <f t="shared" si="189"/>
        <v>8910</v>
      </c>
      <c r="Y893">
        <f t="shared" si="188"/>
        <v>60</v>
      </c>
      <c r="Z893" s="4">
        <f t="shared" si="199"/>
        <v>2666666.6666666665</v>
      </c>
      <c r="AA893" s="3">
        <f t="shared" si="199"/>
        <v>60</v>
      </c>
      <c r="AB893" t="str">
        <f t="shared" si="198"/>
        <v>28B0AA</v>
      </c>
    </row>
    <row r="894" spans="14:28">
      <c r="N894">
        <v>892</v>
      </c>
      <c r="O894">
        <f t="shared" si="190"/>
        <v>920</v>
      </c>
      <c r="P894">
        <f t="shared" si="192"/>
        <v>8920</v>
      </c>
      <c r="Q894">
        <f t="shared" si="193"/>
        <v>200</v>
      </c>
      <c r="R894" s="4">
        <f t="shared" si="194"/>
        <v>800000</v>
      </c>
      <c r="S894" s="3">
        <f t="shared" si="195"/>
        <v>200</v>
      </c>
      <c r="T894" t="str">
        <f t="shared" si="196"/>
        <v>C3500</v>
      </c>
      <c r="V894">
        <v>892</v>
      </c>
      <c r="W894">
        <f t="shared" si="187"/>
        <v>520</v>
      </c>
      <c r="X894">
        <f t="shared" si="189"/>
        <v>8920</v>
      </c>
      <c r="Y894">
        <f t="shared" si="188"/>
        <v>60</v>
      </c>
      <c r="Z894" s="4">
        <f t="shared" si="199"/>
        <v>2666666.6666666665</v>
      </c>
      <c r="AA894" s="3">
        <f t="shared" si="199"/>
        <v>60</v>
      </c>
      <c r="AB894" t="str">
        <f t="shared" si="198"/>
        <v>28B0AA</v>
      </c>
    </row>
    <row r="895" spans="14:28">
      <c r="N895">
        <v>893</v>
      </c>
      <c r="O895">
        <f t="shared" si="190"/>
        <v>930</v>
      </c>
      <c r="P895">
        <f t="shared" si="192"/>
        <v>8930</v>
      </c>
      <c r="Q895">
        <f t="shared" si="193"/>
        <v>200</v>
      </c>
      <c r="R895" s="4">
        <f t="shared" si="194"/>
        <v>800000</v>
      </c>
      <c r="S895" s="3">
        <f t="shared" si="195"/>
        <v>200</v>
      </c>
      <c r="T895" t="str">
        <f t="shared" si="196"/>
        <v>C3500</v>
      </c>
      <c r="V895">
        <v>893</v>
      </c>
      <c r="W895">
        <f t="shared" ref="W895:W958" si="200">MOD(X895,$A$14+$A$15)</f>
        <v>530</v>
      </c>
      <c r="X895">
        <f t="shared" si="189"/>
        <v>8930</v>
      </c>
      <c r="Y895">
        <f t="shared" ref="Y895:Y958" si="201">IF(W895&gt;$A$14,0,IF(W895&lt;$A$13,W895/($A$13)*($A$11-$A$12)+$A$12,IF($A$14-W895&lt;$A$13,($A$14-W895)/($A$13)*($A$11-$A$12)+$A$12,$A$11)))</f>
        <v>60</v>
      </c>
      <c r="Z895" s="4">
        <f t="shared" si="199"/>
        <v>2666666.6666666665</v>
      </c>
      <c r="AA895" s="3">
        <f t="shared" si="199"/>
        <v>60</v>
      </c>
      <c r="AB895" t="str">
        <f t="shared" si="198"/>
        <v>28B0AA</v>
      </c>
    </row>
    <row r="896" spans="14:28">
      <c r="N896">
        <v>894</v>
      </c>
      <c r="O896">
        <f t="shared" si="190"/>
        <v>940</v>
      </c>
      <c r="P896">
        <f t="shared" si="192"/>
        <v>8940</v>
      </c>
      <c r="Q896">
        <f t="shared" si="193"/>
        <v>200</v>
      </c>
      <c r="R896" s="4">
        <f t="shared" si="194"/>
        <v>800000</v>
      </c>
      <c r="S896" s="3">
        <f t="shared" si="195"/>
        <v>200</v>
      </c>
      <c r="T896" t="str">
        <f t="shared" si="196"/>
        <v>C3500</v>
      </c>
      <c r="V896">
        <v>894</v>
      </c>
      <c r="W896">
        <f t="shared" si="200"/>
        <v>540</v>
      </c>
      <c r="X896">
        <f t="shared" ref="X896:X959" si="202">V896*10</f>
        <v>8940</v>
      </c>
      <c r="Y896">
        <f t="shared" si="201"/>
        <v>60</v>
      </c>
      <c r="Z896" s="4">
        <f t="shared" si="199"/>
        <v>2666666.6666666665</v>
      </c>
      <c r="AA896" s="3">
        <f t="shared" si="199"/>
        <v>60</v>
      </c>
      <c r="AB896" t="str">
        <f t="shared" si="198"/>
        <v>28B0AA</v>
      </c>
    </row>
    <row r="897" spans="14:28">
      <c r="N897">
        <v>895</v>
      </c>
      <c r="O897">
        <f t="shared" si="190"/>
        <v>950</v>
      </c>
      <c r="P897">
        <f t="shared" si="192"/>
        <v>8950</v>
      </c>
      <c r="Q897">
        <f t="shared" si="193"/>
        <v>200</v>
      </c>
      <c r="R897" s="4">
        <f t="shared" si="194"/>
        <v>800000</v>
      </c>
      <c r="S897" s="3">
        <f t="shared" si="195"/>
        <v>200</v>
      </c>
      <c r="T897" t="str">
        <f t="shared" si="196"/>
        <v>C3500</v>
      </c>
      <c r="V897">
        <v>895</v>
      </c>
      <c r="W897">
        <f t="shared" si="200"/>
        <v>550</v>
      </c>
      <c r="X897">
        <f t="shared" si="202"/>
        <v>8950</v>
      </c>
      <c r="Y897">
        <f t="shared" si="201"/>
        <v>60</v>
      </c>
      <c r="Z897" s="4">
        <f t="shared" si="199"/>
        <v>2666666.6666666665</v>
      </c>
      <c r="AA897" s="3">
        <f t="shared" si="199"/>
        <v>60</v>
      </c>
      <c r="AB897" t="str">
        <f t="shared" si="198"/>
        <v>28B0AA</v>
      </c>
    </row>
    <row r="898" spans="14:28">
      <c r="N898">
        <v>896</v>
      </c>
      <c r="O898">
        <f t="shared" si="190"/>
        <v>960</v>
      </c>
      <c r="P898">
        <f t="shared" si="192"/>
        <v>8960</v>
      </c>
      <c r="Q898">
        <f t="shared" si="193"/>
        <v>200</v>
      </c>
      <c r="R898" s="4">
        <f t="shared" si="194"/>
        <v>800000</v>
      </c>
      <c r="S898" s="3">
        <f t="shared" si="195"/>
        <v>200</v>
      </c>
      <c r="T898" t="str">
        <f t="shared" si="196"/>
        <v>C3500</v>
      </c>
      <c r="V898">
        <v>896</v>
      </c>
      <c r="W898">
        <f t="shared" si="200"/>
        <v>560</v>
      </c>
      <c r="X898">
        <f t="shared" si="202"/>
        <v>8960</v>
      </c>
      <c r="Y898">
        <f t="shared" si="201"/>
        <v>60</v>
      </c>
      <c r="Z898" s="4">
        <f t="shared" si="199"/>
        <v>2666666.6666666665</v>
      </c>
      <c r="AA898" s="3">
        <f t="shared" si="199"/>
        <v>60</v>
      </c>
      <c r="AB898" t="str">
        <f t="shared" si="198"/>
        <v>28B0AA</v>
      </c>
    </row>
    <row r="899" spans="14:28">
      <c r="N899">
        <v>897</v>
      </c>
      <c r="O899">
        <f t="shared" ref="O899:O962" si="203">MOD(P899,$A$5+$A$6)</f>
        <v>970</v>
      </c>
      <c r="P899">
        <f t="shared" si="192"/>
        <v>8970</v>
      </c>
      <c r="Q899">
        <f t="shared" si="193"/>
        <v>200</v>
      </c>
      <c r="R899" s="4">
        <f t="shared" si="194"/>
        <v>800000</v>
      </c>
      <c r="S899" s="3">
        <f t="shared" si="195"/>
        <v>200</v>
      </c>
      <c r="T899" t="str">
        <f t="shared" si="196"/>
        <v>C3500</v>
      </c>
      <c r="V899">
        <v>897</v>
      </c>
      <c r="W899">
        <f t="shared" si="200"/>
        <v>570</v>
      </c>
      <c r="X899">
        <f t="shared" si="202"/>
        <v>8970</v>
      </c>
      <c r="Y899">
        <f t="shared" si="201"/>
        <v>60</v>
      </c>
      <c r="Z899" s="4">
        <f t="shared" ref="Z899:AA918" si="204">IFERROR(160*1000*1000/Y899,0)</f>
        <v>2666666.6666666665</v>
      </c>
      <c r="AA899" s="3">
        <f t="shared" si="204"/>
        <v>60</v>
      </c>
      <c r="AB899" t="str">
        <f t="shared" si="198"/>
        <v>28B0AA</v>
      </c>
    </row>
    <row r="900" spans="14:28">
      <c r="N900">
        <v>898</v>
      </c>
      <c r="O900">
        <f t="shared" si="203"/>
        <v>980</v>
      </c>
      <c r="P900">
        <f t="shared" si="192"/>
        <v>8980</v>
      </c>
      <c r="Q900">
        <f t="shared" si="193"/>
        <v>200</v>
      </c>
      <c r="R900" s="4">
        <f t="shared" si="194"/>
        <v>800000</v>
      </c>
      <c r="S900" s="3">
        <f t="shared" si="195"/>
        <v>200</v>
      </c>
      <c r="T900" t="str">
        <f t="shared" si="196"/>
        <v>C3500</v>
      </c>
      <c r="V900">
        <v>898</v>
      </c>
      <c r="W900">
        <f t="shared" si="200"/>
        <v>580</v>
      </c>
      <c r="X900">
        <f t="shared" si="202"/>
        <v>8980</v>
      </c>
      <c r="Y900">
        <f t="shared" si="201"/>
        <v>60</v>
      </c>
      <c r="Z900" s="4">
        <f t="shared" si="204"/>
        <v>2666666.6666666665</v>
      </c>
      <c r="AA900" s="3">
        <f t="shared" si="204"/>
        <v>60</v>
      </c>
      <c r="AB900" t="str">
        <f t="shared" si="198"/>
        <v>28B0AA</v>
      </c>
    </row>
    <row r="901" spans="14:28">
      <c r="N901">
        <v>899</v>
      </c>
      <c r="O901">
        <f t="shared" si="203"/>
        <v>990</v>
      </c>
      <c r="P901">
        <f t="shared" si="192"/>
        <v>8990</v>
      </c>
      <c r="Q901">
        <f t="shared" si="193"/>
        <v>200</v>
      </c>
      <c r="R901" s="4">
        <f t="shared" si="194"/>
        <v>800000</v>
      </c>
      <c r="S901" s="3">
        <f t="shared" si="195"/>
        <v>200</v>
      </c>
      <c r="T901" t="str">
        <f t="shared" si="196"/>
        <v>C3500</v>
      </c>
      <c r="V901">
        <v>899</v>
      </c>
      <c r="W901">
        <f t="shared" si="200"/>
        <v>590</v>
      </c>
      <c r="X901">
        <f t="shared" si="202"/>
        <v>8990</v>
      </c>
      <c r="Y901">
        <f t="shared" si="201"/>
        <v>60</v>
      </c>
      <c r="Z901" s="4">
        <f t="shared" si="204"/>
        <v>2666666.6666666665</v>
      </c>
      <c r="AA901" s="3">
        <f t="shared" si="204"/>
        <v>60</v>
      </c>
      <c r="AB901" t="str">
        <f t="shared" si="198"/>
        <v>28B0AA</v>
      </c>
    </row>
    <row r="902" spans="14:28">
      <c r="N902">
        <v>900</v>
      </c>
      <c r="O902">
        <f t="shared" si="203"/>
        <v>1000</v>
      </c>
      <c r="P902">
        <f t="shared" si="192"/>
        <v>9000</v>
      </c>
      <c r="Q902">
        <f t="shared" si="193"/>
        <v>200</v>
      </c>
      <c r="R902" s="4">
        <f t="shared" si="194"/>
        <v>800000</v>
      </c>
      <c r="S902" s="3">
        <f t="shared" si="195"/>
        <v>200</v>
      </c>
      <c r="T902" t="str">
        <f t="shared" si="196"/>
        <v>C3500</v>
      </c>
      <c r="V902">
        <v>900</v>
      </c>
      <c r="W902">
        <f t="shared" si="200"/>
        <v>600</v>
      </c>
      <c r="X902">
        <f t="shared" si="202"/>
        <v>9000</v>
      </c>
      <c r="Y902">
        <f t="shared" si="201"/>
        <v>60</v>
      </c>
      <c r="Z902" s="4">
        <f t="shared" si="204"/>
        <v>2666666.6666666665</v>
      </c>
      <c r="AA902" s="3">
        <f t="shared" si="204"/>
        <v>60</v>
      </c>
      <c r="AB902" t="str">
        <f t="shared" si="198"/>
        <v>28B0AA</v>
      </c>
    </row>
    <row r="903" spans="14:28">
      <c r="N903">
        <v>901</v>
      </c>
      <c r="O903">
        <f t="shared" si="203"/>
        <v>1010</v>
      </c>
      <c r="P903">
        <f t="shared" si="192"/>
        <v>9010</v>
      </c>
      <c r="Q903">
        <f t="shared" si="193"/>
        <v>200</v>
      </c>
      <c r="R903" s="4">
        <f t="shared" si="194"/>
        <v>800000</v>
      </c>
      <c r="S903" s="3">
        <f t="shared" si="195"/>
        <v>200</v>
      </c>
      <c r="T903" t="str">
        <f t="shared" si="196"/>
        <v>C3500</v>
      </c>
      <c r="V903">
        <v>901</v>
      </c>
      <c r="W903">
        <f t="shared" si="200"/>
        <v>610</v>
      </c>
      <c r="X903">
        <f t="shared" si="202"/>
        <v>9010</v>
      </c>
      <c r="Y903">
        <f t="shared" si="201"/>
        <v>60</v>
      </c>
      <c r="Z903" s="4">
        <f t="shared" si="204"/>
        <v>2666666.6666666665</v>
      </c>
      <c r="AA903" s="3">
        <f t="shared" si="204"/>
        <v>60</v>
      </c>
      <c r="AB903" t="str">
        <f t="shared" si="198"/>
        <v>28B0AA</v>
      </c>
    </row>
    <row r="904" spans="14:28">
      <c r="N904">
        <v>902</v>
      </c>
      <c r="O904">
        <f t="shared" si="203"/>
        <v>1020</v>
      </c>
      <c r="P904">
        <f t="shared" si="192"/>
        <v>9020</v>
      </c>
      <c r="Q904">
        <f t="shared" si="193"/>
        <v>200</v>
      </c>
      <c r="R904" s="4">
        <f t="shared" si="194"/>
        <v>800000</v>
      </c>
      <c r="S904" s="3">
        <f t="shared" si="195"/>
        <v>200</v>
      </c>
      <c r="T904" t="str">
        <f t="shared" si="196"/>
        <v>C3500</v>
      </c>
      <c r="V904">
        <v>902</v>
      </c>
      <c r="W904">
        <f t="shared" si="200"/>
        <v>620</v>
      </c>
      <c r="X904">
        <f t="shared" si="202"/>
        <v>9020</v>
      </c>
      <c r="Y904">
        <f t="shared" si="201"/>
        <v>60</v>
      </c>
      <c r="Z904" s="4">
        <f t="shared" si="204"/>
        <v>2666666.6666666665</v>
      </c>
      <c r="AA904" s="3">
        <f t="shared" si="204"/>
        <v>60</v>
      </c>
      <c r="AB904" t="str">
        <f t="shared" si="198"/>
        <v>28B0AA</v>
      </c>
    </row>
    <row r="905" spans="14:28">
      <c r="N905">
        <v>903</v>
      </c>
      <c r="O905">
        <f t="shared" si="203"/>
        <v>1030</v>
      </c>
      <c r="P905">
        <f t="shared" si="192"/>
        <v>9030</v>
      </c>
      <c r="Q905">
        <f t="shared" si="193"/>
        <v>200</v>
      </c>
      <c r="R905" s="4">
        <f t="shared" si="194"/>
        <v>800000</v>
      </c>
      <c r="S905" s="3">
        <f t="shared" si="195"/>
        <v>200</v>
      </c>
      <c r="T905" t="str">
        <f t="shared" si="196"/>
        <v>C3500</v>
      </c>
      <c r="V905">
        <v>903</v>
      </c>
      <c r="W905">
        <f t="shared" si="200"/>
        <v>630</v>
      </c>
      <c r="X905">
        <f t="shared" si="202"/>
        <v>9030</v>
      </c>
      <c r="Y905">
        <f t="shared" si="201"/>
        <v>60</v>
      </c>
      <c r="Z905" s="4">
        <f t="shared" si="204"/>
        <v>2666666.6666666665</v>
      </c>
      <c r="AA905" s="3">
        <f t="shared" si="204"/>
        <v>60</v>
      </c>
      <c r="AB905" t="str">
        <f t="shared" si="198"/>
        <v>28B0AA</v>
      </c>
    </row>
    <row r="906" spans="14:28">
      <c r="N906">
        <v>904</v>
      </c>
      <c r="O906">
        <f t="shared" si="203"/>
        <v>1040</v>
      </c>
      <c r="P906">
        <f t="shared" si="192"/>
        <v>9040</v>
      </c>
      <c r="Q906">
        <f t="shared" si="193"/>
        <v>200</v>
      </c>
      <c r="R906" s="4">
        <f t="shared" si="194"/>
        <v>800000</v>
      </c>
      <c r="S906" s="3">
        <f t="shared" si="195"/>
        <v>200</v>
      </c>
      <c r="T906" t="str">
        <f t="shared" si="196"/>
        <v>C3500</v>
      </c>
      <c r="V906">
        <v>904</v>
      </c>
      <c r="W906">
        <f t="shared" si="200"/>
        <v>640</v>
      </c>
      <c r="X906">
        <f t="shared" si="202"/>
        <v>9040</v>
      </c>
      <c r="Y906">
        <f t="shared" si="201"/>
        <v>60</v>
      </c>
      <c r="Z906" s="4">
        <f t="shared" si="204"/>
        <v>2666666.6666666665</v>
      </c>
      <c r="AA906" s="3">
        <f t="shared" si="204"/>
        <v>60</v>
      </c>
      <c r="AB906" t="str">
        <f t="shared" si="198"/>
        <v>28B0AA</v>
      </c>
    </row>
    <row r="907" spans="14:28">
      <c r="N907">
        <v>905</v>
      </c>
      <c r="O907">
        <f t="shared" si="203"/>
        <v>1050</v>
      </c>
      <c r="P907">
        <f t="shared" ref="P907:P970" si="205">N907*10</f>
        <v>9050</v>
      </c>
      <c r="Q907">
        <f t="shared" ref="Q907:Q970" si="206">IF(O907&gt;$A$5,0,IF(O907&lt;$A$4,O907/($A$4)*($A$2-$A$3)+$A$3,IF($A$5-O907&lt;$A$4,($A$5-O907)/($A$4)*($A$2-$A$3)+$A$3,$A$2)))</f>
        <v>200</v>
      </c>
      <c r="R907" s="4">
        <f t="shared" ref="R907:R970" si="207">IFERROR(160*1000*1000/Q907,0)</f>
        <v>800000</v>
      </c>
      <c r="S907" s="3">
        <f t="shared" ref="S907:S970" si="208">IFERROR(160*1000*1000/R907,0)</f>
        <v>200</v>
      </c>
      <c r="T907" t="str">
        <f t="shared" ref="T907:T970" si="209">DEC2HEX(R907)</f>
        <v>C3500</v>
      </c>
      <c r="V907">
        <v>905</v>
      </c>
      <c r="W907">
        <f t="shared" si="200"/>
        <v>650</v>
      </c>
      <c r="X907">
        <f t="shared" si="202"/>
        <v>9050</v>
      </c>
      <c r="Y907">
        <f t="shared" si="201"/>
        <v>60</v>
      </c>
      <c r="Z907" s="4">
        <f t="shared" si="204"/>
        <v>2666666.6666666665</v>
      </c>
      <c r="AA907" s="3">
        <f t="shared" si="204"/>
        <v>60</v>
      </c>
      <c r="AB907" t="str">
        <f t="shared" si="198"/>
        <v>28B0AA</v>
      </c>
    </row>
    <row r="908" spans="14:28">
      <c r="N908">
        <v>906</v>
      </c>
      <c r="O908">
        <f t="shared" si="203"/>
        <v>1060</v>
      </c>
      <c r="P908">
        <f t="shared" si="205"/>
        <v>9060</v>
      </c>
      <c r="Q908">
        <f t="shared" si="206"/>
        <v>200</v>
      </c>
      <c r="R908" s="4">
        <f t="shared" si="207"/>
        <v>800000</v>
      </c>
      <c r="S908" s="3">
        <f t="shared" si="208"/>
        <v>200</v>
      </c>
      <c r="T908" t="str">
        <f t="shared" si="209"/>
        <v>C3500</v>
      </c>
      <c r="V908">
        <v>906</v>
      </c>
      <c r="W908">
        <f t="shared" si="200"/>
        <v>660</v>
      </c>
      <c r="X908">
        <f t="shared" si="202"/>
        <v>9060</v>
      </c>
      <c r="Y908">
        <f t="shared" si="201"/>
        <v>60</v>
      </c>
      <c r="Z908" s="4">
        <f t="shared" si="204"/>
        <v>2666666.6666666665</v>
      </c>
      <c r="AA908" s="3">
        <f t="shared" si="204"/>
        <v>60</v>
      </c>
      <c r="AB908" t="str">
        <f t="shared" si="198"/>
        <v>28B0AA</v>
      </c>
    </row>
    <row r="909" spans="14:28">
      <c r="N909">
        <v>907</v>
      </c>
      <c r="O909">
        <f t="shared" si="203"/>
        <v>1070</v>
      </c>
      <c r="P909">
        <f t="shared" si="205"/>
        <v>9070</v>
      </c>
      <c r="Q909">
        <f t="shared" si="206"/>
        <v>200</v>
      </c>
      <c r="R909" s="4">
        <f t="shared" si="207"/>
        <v>800000</v>
      </c>
      <c r="S909" s="3">
        <f t="shared" si="208"/>
        <v>200</v>
      </c>
      <c r="T909" t="str">
        <f t="shared" si="209"/>
        <v>C3500</v>
      </c>
      <c r="V909">
        <v>907</v>
      </c>
      <c r="W909">
        <f t="shared" si="200"/>
        <v>670</v>
      </c>
      <c r="X909">
        <f t="shared" si="202"/>
        <v>9070</v>
      </c>
      <c r="Y909">
        <f t="shared" si="201"/>
        <v>60</v>
      </c>
      <c r="Z909" s="4">
        <f t="shared" si="204"/>
        <v>2666666.6666666665</v>
      </c>
      <c r="AA909" s="3">
        <f t="shared" si="204"/>
        <v>60</v>
      </c>
      <c r="AB909" t="str">
        <f t="shared" si="198"/>
        <v>28B0AA</v>
      </c>
    </row>
    <row r="910" spans="14:28">
      <c r="N910">
        <v>908</v>
      </c>
      <c r="O910">
        <f t="shared" si="203"/>
        <v>1080</v>
      </c>
      <c r="P910">
        <f t="shared" si="205"/>
        <v>9080</v>
      </c>
      <c r="Q910">
        <f t="shared" si="206"/>
        <v>200</v>
      </c>
      <c r="R910" s="4">
        <f t="shared" si="207"/>
        <v>800000</v>
      </c>
      <c r="S910" s="3">
        <f t="shared" si="208"/>
        <v>200</v>
      </c>
      <c r="T910" t="str">
        <f t="shared" si="209"/>
        <v>C3500</v>
      </c>
      <c r="V910">
        <v>908</v>
      </c>
      <c r="W910">
        <f t="shared" si="200"/>
        <v>680</v>
      </c>
      <c r="X910">
        <f t="shared" si="202"/>
        <v>9080</v>
      </c>
      <c r="Y910">
        <f t="shared" si="201"/>
        <v>60</v>
      </c>
      <c r="Z910" s="4">
        <f t="shared" si="204"/>
        <v>2666666.6666666665</v>
      </c>
      <c r="AA910" s="3">
        <f t="shared" si="204"/>
        <v>60</v>
      </c>
      <c r="AB910" t="str">
        <f t="shared" si="198"/>
        <v>28B0AA</v>
      </c>
    </row>
    <row r="911" spans="14:28">
      <c r="N911">
        <v>909</v>
      </c>
      <c r="O911">
        <f t="shared" si="203"/>
        <v>1090</v>
      </c>
      <c r="P911">
        <f t="shared" si="205"/>
        <v>9090</v>
      </c>
      <c r="Q911">
        <f t="shared" si="206"/>
        <v>200</v>
      </c>
      <c r="R911" s="4">
        <f t="shared" si="207"/>
        <v>800000</v>
      </c>
      <c r="S911" s="3">
        <f t="shared" si="208"/>
        <v>200</v>
      </c>
      <c r="T911" t="str">
        <f t="shared" si="209"/>
        <v>C3500</v>
      </c>
      <c r="V911">
        <v>909</v>
      </c>
      <c r="W911">
        <f t="shared" si="200"/>
        <v>690</v>
      </c>
      <c r="X911">
        <f t="shared" si="202"/>
        <v>9090</v>
      </c>
      <c r="Y911">
        <f t="shared" si="201"/>
        <v>60</v>
      </c>
      <c r="Z911" s="4">
        <f t="shared" si="204"/>
        <v>2666666.6666666665</v>
      </c>
      <c r="AA911" s="3">
        <f t="shared" si="204"/>
        <v>60</v>
      </c>
      <c r="AB911" t="str">
        <f t="shared" si="198"/>
        <v>28B0AA</v>
      </c>
    </row>
    <row r="912" spans="14:28">
      <c r="N912">
        <v>910</v>
      </c>
      <c r="O912">
        <f t="shared" si="203"/>
        <v>1100</v>
      </c>
      <c r="P912">
        <f t="shared" si="205"/>
        <v>9100</v>
      </c>
      <c r="Q912">
        <f t="shared" si="206"/>
        <v>200</v>
      </c>
      <c r="R912" s="4">
        <f t="shared" si="207"/>
        <v>800000</v>
      </c>
      <c r="S912" s="3">
        <f t="shared" si="208"/>
        <v>200</v>
      </c>
      <c r="T912" t="str">
        <f t="shared" si="209"/>
        <v>C3500</v>
      </c>
      <c r="V912">
        <v>910</v>
      </c>
      <c r="W912">
        <f t="shared" si="200"/>
        <v>700</v>
      </c>
      <c r="X912">
        <f t="shared" si="202"/>
        <v>9100</v>
      </c>
      <c r="Y912">
        <f t="shared" si="201"/>
        <v>60</v>
      </c>
      <c r="Z912" s="4">
        <f t="shared" si="204"/>
        <v>2666666.6666666665</v>
      </c>
      <c r="AA912" s="3">
        <f t="shared" si="204"/>
        <v>60</v>
      </c>
      <c r="AB912" t="str">
        <f t="shared" si="198"/>
        <v>28B0AA</v>
      </c>
    </row>
    <row r="913" spans="14:28">
      <c r="N913">
        <v>911</v>
      </c>
      <c r="O913">
        <f t="shared" si="203"/>
        <v>1110</v>
      </c>
      <c r="P913">
        <f t="shared" si="205"/>
        <v>9110</v>
      </c>
      <c r="Q913">
        <f t="shared" si="206"/>
        <v>200</v>
      </c>
      <c r="R913" s="4">
        <f t="shared" si="207"/>
        <v>800000</v>
      </c>
      <c r="S913" s="3">
        <f t="shared" si="208"/>
        <v>200</v>
      </c>
      <c r="T913" t="str">
        <f t="shared" si="209"/>
        <v>C3500</v>
      </c>
      <c r="V913">
        <v>911</v>
      </c>
      <c r="W913">
        <f t="shared" si="200"/>
        <v>710</v>
      </c>
      <c r="X913">
        <f t="shared" si="202"/>
        <v>9110</v>
      </c>
      <c r="Y913">
        <f t="shared" si="201"/>
        <v>60</v>
      </c>
      <c r="Z913" s="4">
        <f t="shared" si="204"/>
        <v>2666666.6666666665</v>
      </c>
      <c r="AA913" s="3">
        <f t="shared" si="204"/>
        <v>60</v>
      </c>
      <c r="AB913" t="str">
        <f t="shared" si="198"/>
        <v>28B0AA</v>
      </c>
    </row>
    <row r="914" spans="14:28">
      <c r="N914">
        <v>912</v>
      </c>
      <c r="O914">
        <f t="shared" si="203"/>
        <v>1120</v>
      </c>
      <c r="P914">
        <f t="shared" si="205"/>
        <v>9120</v>
      </c>
      <c r="Q914">
        <f t="shared" si="206"/>
        <v>200</v>
      </c>
      <c r="R914" s="4">
        <f t="shared" si="207"/>
        <v>800000</v>
      </c>
      <c r="S914" s="3">
        <f t="shared" si="208"/>
        <v>200</v>
      </c>
      <c r="T914" t="str">
        <f t="shared" si="209"/>
        <v>C3500</v>
      </c>
      <c r="V914">
        <v>912</v>
      </c>
      <c r="W914">
        <f t="shared" si="200"/>
        <v>720</v>
      </c>
      <c r="X914">
        <f t="shared" si="202"/>
        <v>9120</v>
      </c>
      <c r="Y914">
        <f t="shared" si="201"/>
        <v>60</v>
      </c>
      <c r="Z914" s="4">
        <f t="shared" si="204"/>
        <v>2666666.6666666665</v>
      </c>
      <c r="AA914" s="3">
        <f t="shared" si="204"/>
        <v>60</v>
      </c>
      <c r="AB914" t="str">
        <f t="shared" si="198"/>
        <v>28B0AA</v>
      </c>
    </row>
    <row r="915" spans="14:28">
      <c r="N915">
        <v>913</v>
      </c>
      <c r="O915">
        <f t="shared" si="203"/>
        <v>1130</v>
      </c>
      <c r="P915">
        <f t="shared" si="205"/>
        <v>9130</v>
      </c>
      <c r="Q915">
        <f t="shared" si="206"/>
        <v>200</v>
      </c>
      <c r="R915" s="4">
        <f t="shared" si="207"/>
        <v>800000</v>
      </c>
      <c r="S915" s="3">
        <f t="shared" si="208"/>
        <v>200</v>
      </c>
      <c r="T915" t="str">
        <f t="shared" si="209"/>
        <v>C3500</v>
      </c>
      <c r="V915">
        <v>913</v>
      </c>
      <c r="W915">
        <f t="shared" si="200"/>
        <v>730</v>
      </c>
      <c r="X915">
        <f t="shared" si="202"/>
        <v>9130</v>
      </c>
      <c r="Y915">
        <f t="shared" si="201"/>
        <v>60</v>
      </c>
      <c r="Z915" s="4">
        <f t="shared" si="204"/>
        <v>2666666.6666666665</v>
      </c>
      <c r="AA915" s="3">
        <f t="shared" si="204"/>
        <v>60</v>
      </c>
      <c r="AB915" t="str">
        <f t="shared" si="198"/>
        <v>28B0AA</v>
      </c>
    </row>
    <row r="916" spans="14:28">
      <c r="N916">
        <v>914</v>
      </c>
      <c r="O916">
        <f t="shared" si="203"/>
        <v>1140</v>
      </c>
      <c r="P916">
        <f t="shared" si="205"/>
        <v>9140</v>
      </c>
      <c r="Q916">
        <f t="shared" si="206"/>
        <v>200</v>
      </c>
      <c r="R916" s="4">
        <f t="shared" si="207"/>
        <v>800000</v>
      </c>
      <c r="S916" s="3">
        <f t="shared" si="208"/>
        <v>200</v>
      </c>
      <c r="T916" t="str">
        <f t="shared" si="209"/>
        <v>C3500</v>
      </c>
      <c r="V916">
        <v>914</v>
      </c>
      <c r="W916">
        <f t="shared" si="200"/>
        <v>740</v>
      </c>
      <c r="X916">
        <f t="shared" si="202"/>
        <v>9140</v>
      </c>
      <c r="Y916">
        <f t="shared" si="201"/>
        <v>60</v>
      </c>
      <c r="Z916" s="4">
        <f t="shared" si="204"/>
        <v>2666666.6666666665</v>
      </c>
      <c r="AA916" s="3">
        <f t="shared" si="204"/>
        <v>60</v>
      </c>
      <c r="AB916" t="str">
        <f t="shared" si="198"/>
        <v>28B0AA</v>
      </c>
    </row>
    <row r="917" spans="14:28">
      <c r="N917">
        <v>915</v>
      </c>
      <c r="O917">
        <f t="shared" si="203"/>
        <v>1150</v>
      </c>
      <c r="P917">
        <f t="shared" si="205"/>
        <v>9150</v>
      </c>
      <c r="Q917">
        <f t="shared" si="206"/>
        <v>200</v>
      </c>
      <c r="R917" s="4">
        <f t="shared" si="207"/>
        <v>800000</v>
      </c>
      <c r="S917" s="3">
        <f t="shared" si="208"/>
        <v>200</v>
      </c>
      <c r="T917" t="str">
        <f t="shared" si="209"/>
        <v>C3500</v>
      </c>
      <c r="V917">
        <v>915</v>
      </c>
      <c r="W917">
        <f t="shared" si="200"/>
        <v>750</v>
      </c>
      <c r="X917">
        <f t="shared" si="202"/>
        <v>9150</v>
      </c>
      <c r="Y917">
        <f t="shared" si="201"/>
        <v>60</v>
      </c>
      <c r="Z917" s="4">
        <f t="shared" si="204"/>
        <v>2666666.6666666665</v>
      </c>
      <c r="AA917" s="3">
        <f t="shared" si="204"/>
        <v>60</v>
      </c>
      <c r="AB917" t="str">
        <f t="shared" si="198"/>
        <v>28B0AA</v>
      </c>
    </row>
    <row r="918" spans="14:28">
      <c r="N918">
        <v>916</v>
      </c>
      <c r="O918">
        <f t="shared" si="203"/>
        <v>1160</v>
      </c>
      <c r="P918">
        <f t="shared" si="205"/>
        <v>9160</v>
      </c>
      <c r="Q918">
        <f t="shared" si="206"/>
        <v>200</v>
      </c>
      <c r="R918" s="4">
        <f t="shared" si="207"/>
        <v>800000</v>
      </c>
      <c r="S918" s="3">
        <f t="shared" si="208"/>
        <v>200</v>
      </c>
      <c r="T918" t="str">
        <f t="shared" si="209"/>
        <v>C3500</v>
      </c>
      <c r="V918">
        <v>916</v>
      </c>
      <c r="W918">
        <f t="shared" si="200"/>
        <v>760</v>
      </c>
      <c r="X918">
        <f t="shared" si="202"/>
        <v>9160</v>
      </c>
      <c r="Y918">
        <f t="shared" si="201"/>
        <v>60</v>
      </c>
      <c r="Z918" s="4">
        <f t="shared" si="204"/>
        <v>2666666.6666666665</v>
      </c>
      <c r="AA918" s="3">
        <f t="shared" si="204"/>
        <v>60</v>
      </c>
      <c r="AB918" t="str">
        <f t="shared" si="198"/>
        <v>28B0AA</v>
      </c>
    </row>
    <row r="919" spans="14:28">
      <c r="N919">
        <v>917</v>
      </c>
      <c r="O919">
        <f t="shared" si="203"/>
        <v>1170</v>
      </c>
      <c r="P919">
        <f t="shared" si="205"/>
        <v>9170</v>
      </c>
      <c r="Q919">
        <f t="shared" si="206"/>
        <v>200</v>
      </c>
      <c r="R919" s="4">
        <f t="shared" si="207"/>
        <v>800000</v>
      </c>
      <c r="S919" s="3">
        <f t="shared" si="208"/>
        <v>200</v>
      </c>
      <c r="T919" t="str">
        <f t="shared" si="209"/>
        <v>C3500</v>
      </c>
      <c r="V919">
        <v>917</v>
      </c>
      <c r="W919">
        <f t="shared" si="200"/>
        <v>770</v>
      </c>
      <c r="X919">
        <f t="shared" si="202"/>
        <v>9170</v>
      </c>
      <c r="Y919">
        <f t="shared" si="201"/>
        <v>60</v>
      </c>
      <c r="Z919" s="4">
        <f t="shared" ref="Z919:AA938" si="210">IFERROR(160*1000*1000/Y919,0)</f>
        <v>2666666.6666666665</v>
      </c>
      <c r="AA919" s="3">
        <f t="shared" si="210"/>
        <v>60</v>
      </c>
      <c r="AB919" t="str">
        <f t="shared" si="198"/>
        <v>28B0AA</v>
      </c>
    </row>
    <row r="920" spans="14:28">
      <c r="N920">
        <v>918</v>
      </c>
      <c r="O920">
        <f t="shared" si="203"/>
        <v>1180</v>
      </c>
      <c r="P920">
        <f t="shared" si="205"/>
        <v>9180</v>
      </c>
      <c r="Q920">
        <f t="shared" si="206"/>
        <v>200</v>
      </c>
      <c r="R920" s="4">
        <f t="shared" si="207"/>
        <v>800000</v>
      </c>
      <c r="S920" s="3">
        <f t="shared" si="208"/>
        <v>200</v>
      </c>
      <c r="T920" t="str">
        <f t="shared" si="209"/>
        <v>C3500</v>
      </c>
      <c r="V920">
        <v>918</v>
      </c>
      <c r="W920">
        <f t="shared" si="200"/>
        <v>780</v>
      </c>
      <c r="X920">
        <f t="shared" si="202"/>
        <v>9180</v>
      </c>
      <c r="Y920">
        <f t="shared" si="201"/>
        <v>60</v>
      </c>
      <c r="Z920" s="4">
        <f t="shared" si="210"/>
        <v>2666666.6666666665</v>
      </c>
      <c r="AA920" s="3">
        <f t="shared" si="210"/>
        <v>60</v>
      </c>
      <c r="AB920" t="str">
        <f t="shared" si="198"/>
        <v>28B0AA</v>
      </c>
    </row>
    <row r="921" spans="14:28">
      <c r="N921">
        <v>919</v>
      </c>
      <c r="O921">
        <f t="shared" si="203"/>
        <v>1190</v>
      </c>
      <c r="P921">
        <f t="shared" si="205"/>
        <v>9190</v>
      </c>
      <c r="Q921">
        <f t="shared" si="206"/>
        <v>200</v>
      </c>
      <c r="R921" s="4">
        <f t="shared" si="207"/>
        <v>800000</v>
      </c>
      <c r="S921" s="3">
        <f t="shared" si="208"/>
        <v>200</v>
      </c>
      <c r="T921" t="str">
        <f t="shared" si="209"/>
        <v>C3500</v>
      </c>
      <c r="V921">
        <v>919</v>
      </c>
      <c r="W921">
        <f t="shared" si="200"/>
        <v>790</v>
      </c>
      <c r="X921">
        <f t="shared" si="202"/>
        <v>9190</v>
      </c>
      <c r="Y921">
        <f t="shared" si="201"/>
        <v>60</v>
      </c>
      <c r="Z921" s="4">
        <f t="shared" si="210"/>
        <v>2666666.6666666665</v>
      </c>
      <c r="AA921" s="3">
        <f t="shared" si="210"/>
        <v>60</v>
      </c>
      <c r="AB921" t="str">
        <f t="shared" si="198"/>
        <v>28B0AA</v>
      </c>
    </row>
    <row r="922" spans="14:28">
      <c r="N922">
        <v>920</v>
      </c>
      <c r="O922">
        <f t="shared" si="203"/>
        <v>1200</v>
      </c>
      <c r="P922">
        <f t="shared" si="205"/>
        <v>9200</v>
      </c>
      <c r="Q922">
        <f t="shared" si="206"/>
        <v>200</v>
      </c>
      <c r="R922" s="4">
        <f t="shared" si="207"/>
        <v>800000</v>
      </c>
      <c r="S922" s="3">
        <f t="shared" si="208"/>
        <v>200</v>
      </c>
      <c r="T922" t="str">
        <f t="shared" si="209"/>
        <v>C3500</v>
      </c>
      <c r="V922">
        <v>920</v>
      </c>
      <c r="W922">
        <f t="shared" si="200"/>
        <v>800</v>
      </c>
      <c r="X922">
        <f t="shared" si="202"/>
        <v>9200</v>
      </c>
      <c r="Y922">
        <f t="shared" si="201"/>
        <v>60</v>
      </c>
      <c r="Z922" s="4">
        <f t="shared" si="210"/>
        <v>2666666.6666666665</v>
      </c>
      <c r="AA922" s="3">
        <f t="shared" si="210"/>
        <v>60</v>
      </c>
      <c r="AB922" t="str">
        <f t="shared" si="198"/>
        <v>28B0AA</v>
      </c>
    </row>
    <row r="923" spans="14:28">
      <c r="N923">
        <v>921</v>
      </c>
      <c r="O923">
        <f t="shared" si="203"/>
        <v>1210</v>
      </c>
      <c r="P923">
        <f t="shared" si="205"/>
        <v>9210</v>
      </c>
      <c r="Q923">
        <f t="shared" si="206"/>
        <v>200</v>
      </c>
      <c r="R923" s="4">
        <f t="shared" si="207"/>
        <v>800000</v>
      </c>
      <c r="S923" s="3">
        <f t="shared" si="208"/>
        <v>200</v>
      </c>
      <c r="T923" t="str">
        <f t="shared" si="209"/>
        <v>C3500</v>
      </c>
      <c r="V923">
        <v>921</v>
      </c>
      <c r="W923">
        <f t="shared" si="200"/>
        <v>810</v>
      </c>
      <c r="X923">
        <f t="shared" si="202"/>
        <v>9210</v>
      </c>
      <c r="Y923">
        <f t="shared" si="201"/>
        <v>60</v>
      </c>
      <c r="Z923" s="4">
        <f t="shared" si="210"/>
        <v>2666666.6666666665</v>
      </c>
      <c r="AA923" s="3">
        <f t="shared" si="210"/>
        <v>60</v>
      </c>
      <c r="AB923" t="str">
        <f t="shared" si="198"/>
        <v>28B0AA</v>
      </c>
    </row>
    <row r="924" spans="14:28">
      <c r="N924">
        <v>922</v>
      </c>
      <c r="O924">
        <f t="shared" si="203"/>
        <v>1220</v>
      </c>
      <c r="P924">
        <f t="shared" si="205"/>
        <v>9220</v>
      </c>
      <c r="Q924">
        <f t="shared" si="206"/>
        <v>200</v>
      </c>
      <c r="R924" s="4">
        <f t="shared" si="207"/>
        <v>800000</v>
      </c>
      <c r="S924" s="3">
        <f t="shared" si="208"/>
        <v>200</v>
      </c>
      <c r="T924" t="str">
        <f t="shared" si="209"/>
        <v>C3500</v>
      </c>
      <c r="V924">
        <v>922</v>
      </c>
      <c r="W924">
        <f t="shared" si="200"/>
        <v>820</v>
      </c>
      <c r="X924">
        <f t="shared" si="202"/>
        <v>9220</v>
      </c>
      <c r="Y924">
        <f t="shared" si="201"/>
        <v>60</v>
      </c>
      <c r="Z924" s="4">
        <f t="shared" si="210"/>
        <v>2666666.6666666665</v>
      </c>
      <c r="AA924" s="3">
        <f t="shared" si="210"/>
        <v>60</v>
      </c>
      <c r="AB924" t="str">
        <f t="shared" si="198"/>
        <v>28B0AA</v>
      </c>
    </row>
    <row r="925" spans="14:28">
      <c r="N925">
        <v>923</v>
      </c>
      <c r="O925">
        <f t="shared" si="203"/>
        <v>1230</v>
      </c>
      <c r="P925">
        <f t="shared" si="205"/>
        <v>9230</v>
      </c>
      <c r="Q925">
        <f t="shared" si="206"/>
        <v>200</v>
      </c>
      <c r="R925" s="4">
        <f t="shared" si="207"/>
        <v>800000</v>
      </c>
      <c r="S925" s="3">
        <f t="shared" si="208"/>
        <v>200</v>
      </c>
      <c r="T925" t="str">
        <f t="shared" si="209"/>
        <v>C3500</v>
      </c>
      <c r="V925">
        <v>923</v>
      </c>
      <c r="W925">
        <f t="shared" si="200"/>
        <v>830</v>
      </c>
      <c r="X925">
        <f t="shared" si="202"/>
        <v>9230</v>
      </c>
      <c r="Y925">
        <f t="shared" si="201"/>
        <v>60</v>
      </c>
      <c r="Z925" s="4">
        <f t="shared" si="210"/>
        <v>2666666.6666666665</v>
      </c>
      <c r="AA925" s="3">
        <f t="shared" si="210"/>
        <v>60</v>
      </c>
      <c r="AB925" t="str">
        <f t="shared" si="198"/>
        <v>28B0AA</v>
      </c>
    </row>
    <row r="926" spans="14:28">
      <c r="N926">
        <v>924</v>
      </c>
      <c r="O926">
        <f t="shared" si="203"/>
        <v>1240</v>
      </c>
      <c r="P926">
        <f t="shared" si="205"/>
        <v>9240</v>
      </c>
      <c r="Q926">
        <f t="shared" si="206"/>
        <v>200</v>
      </c>
      <c r="R926" s="4">
        <f t="shared" si="207"/>
        <v>800000</v>
      </c>
      <c r="S926" s="3">
        <f t="shared" si="208"/>
        <v>200</v>
      </c>
      <c r="T926" t="str">
        <f t="shared" si="209"/>
        <v>C3500</v>
      </c>
      <c r="V926">
        <v>924</v>
      </c>
      <c r="W926">
        <f t="shared" si="200"/>
        <v>840</v>
      </c>
      <c r="X926">
        <f t="shared" si="202"/>
        <v>9240</v>
      </c>
      <c r="Y926">
        <f t="shared" si="201"/>
        <v>60</v>
      </c>
      <c r="Z926" s="4">
        <f t="shared" si="210"/>
        <v>2666666.6666666665</v>
      </c>
      <c r="AA926" s="3">
        <f t="shared" si="210"/>
        <v>60</v>
      </c>
      <c r="AB926" t="str">
        <f t="shared" si="198"/>
        <v>28B0AA</v>
      </c>
    </row>
    <row r="927" spans="14:28">
      <c r="N927">
        <v>925</v>
      </c>
      <c r="O927">
        <f t="shared" si="203"/>
        <v>1250</v>
      </c>
      <c r="P927">
        <f t="shared" si="205"/>
        <v>9250</v>
      </c>
      <c r="Q927">
        <f t="shared" si="206"/>
        <v>200</v>
      </c>
      <c r="R927" s="4">
        <f t="shared" si="207"/>
        <v>800000</v>
      </c>
      <c r="S927" s="3">
        <f t="shared" si="208"/>
        <v>200</v>
      </c>
      <c r="T927" t="str">
        <f t="shared" si="209"/>
        <v>C3500</v>
      </c>
      <c r="V927">
        <v>925</v>
      </c>
      <c r="W927">
        <f t="shared" si="200"/>
        <v>850</v>
      </c>
      <c r="X927">
        <f t="shared" si="202"/>
        <v>9250</v>
      </c>
      <c r="Y927">
        <f t="shared" si="201"/>
        <v>60</v>
      </c>
      <c r="Z927" s="4">
        <f t="shared" si="210"/>
        <v>2666666.6666666665</v>
      </c>
      <c r="AA927" s="3">
        <f t="shared" si="210"/>
        <v>60</v>
      </c>
      <c r="AB927" t="str">
        <f t="shared" si="198"/>
        <v>28B0AA</v>
      </c>
    </row>
    <row r="928" spans="14:28">
      <c r="N928">
        <v>926</v>
      </c>
      <c r="O928">
        <f t="shared" si="203"/>
        <v>1260</v>
      </c>
      <c r="P928">
        <f t="shared" si="205"/>
        <v>9260</v>
      </c>
      <c r="Q928">
        <f t="shared" si="206"/>
        <v>192.2</v>
      </c>
      <c r="R928" s="4">
        <f t="shared" si="207"/>
        <v>832466.1810613944</v>
      </c>
      <c r="S928" s="3">
        <f t="shared" si="208"/>
        <v>192.2</v>
      </c>
      <c r="T928" t="str">
        <f t="shared" si="209"/>
        <v>CB3D2</v>
      </c>
      <c r="V928">
        <v>926</v>
      </c>
      <c r="W928">
        <f t="shared" si="200"/>
        <v>860</v>
      </c>
      <c r="X928">
        <f t="shared" si="202"/>
        <v>9260</v>
      </c>
      <c r="Y928">
        <f t="shared" si="201"/>
        <v>60</v>
      </c>
      <c r="Z928" s="4">
        <f t="shared" si="210"/>
        <v>2666666.6666666665</v>
      </c>
      <c r="AA928" s="3">
        <f t="shared" si="210"/>
        <v>60</v>
      </c>
      <c r="AB928" t="str">
        <f t="shared" si="198"/>
        <v>28B0AA</v>
      </c>
    </row>
    <row r="929" spans="14:28">
      <c r="N929">
        <v>927</v>
      </c>
      <c r="O929">
        <f t="shared" si="203"/>
        <v>1270</v>
      </c>
      <c r="P929">
        <f t="shared" si="205"/>
        <v>9270</v>
      </c>
      <c r="Q929">
        <f t="shared" si="206"/>
        <v>184.4</v>
      </c>
      <c r="R929" s="4">
        <f t="shared" si="207"/>
        <v>867678.95878524939</v>
      </c>
      <c r="S929" s="3">
        <f t="shared" si="208"/>
        <v>184.4</v>
      </c>
      <c r="T929" t="str">
        <f t="shared" si="209"/>
        <v>D3D5E</v>
      </c>
      <c r="V929">
        <v>927</v>
      </c>
      <c r="W929">
        <f t="shared" si="200"/>
        <v>870</v>
      </c>
      <c r="X929">
        <f t="shared" si="202"/>
        <v>9270</v>
      </c>
      <c r="Y929">
        <f t="shared" si="201"/>
        <v>60</v>
      </c>
      <c r="Z929" s="4">
        <f t="shared" si="210"/>
        <v>2666666.6666666665</v>
      </c>
      <c r="AA929" s="3">
        <f t="shared" si="210"/>
        <v>60</v>
      </c>
      <c r="AB929" t="str">
        <f t="shared" si="198"/>
        <v>28B0AA</v>
      </c>
    </row>
    <row r="930" spans="14:28">
      <c r="N930">
        <v>928</v>
      </c>
      <c r="O930">
        <f t="shared" si="203"/>
        <v>1280</v>
      </c>
      <c r="P930">
        <f t="shared" si="205"/>
        <v>9280</v>
      </c>
      <c r="Q930">
        <f t="shared" si="206"/>
        <v>176.6</v>
      </c>
      <c r="R930" s="4">
        <f t="shared" si="207"/>
        <v>906002.26500566257</v>
      </c>
      <c r="S930" s="3">
        <f t="shared" si="208"/>
        <v>176.6</v>
      </c>
      <c r="T930" t="str">
        <f t="shared" si="209"/>
        <v>DD312</v>
      </c>
      <c r="V930">
        <v>928</v>
      </c>
      <c r="W930">
        <f t="shared" si="200"/>
        <v>880</v>
      </c>
      <c r="X930">
        <f t="shared" si="202"/>
        <v>9280</v>
      </c>
      <c r="Y930">
        <f t="shared" si="201"/>
        <v>60</v>
      </c>
      <c r="Z930" s="4">
        <f t="shared" si="210"/>
        <v>2666666.6666666665</v>
      </c>
      <c r="AA930" s="3">
        <f t="shared" si="210"/>
        <v>60</v>
      </c>
      <c r="AB930" t="str">
        <f t="shared" ref="AB930:AB993" si="211">DEC2HEX(Z930)</f>
        <v>28B0AA</v>
      </c>
    </row>
    <row r="931" spans="14:28">
      <c r="N931">
        <v>929</v>
      </c>
      <c r="O931">
        <f t="shared" si="203"/>
        <v>1290</v>
      </c>
      <c r="P931">
        <f t="shared" si="205"/>
        <v>9290</v>
      </c>
      <c r="Q931">
        <f t="shared" si="206"/>
        <v>168.79999999999998</v>
      </c>
      <c r="R931" s="4">
        <f t="shared" si="207"/>
        <v>947867.29857819912</v>
      </c>
      <c r="S931" s="3">
        <f t="shared" si="208"/>
        <v>168.79999999999998</v>
      </c>
      <c r="T931" t="str">
        <f t="shared" si="209"/>
        <v>E769B</v>
      </c>
      <c r="V931">
        <v>929</v>
      </c>
      <c r="W931">
        <f t="shared" si="200"/>
        <v>890</v>
      </c>
      <c r="X931">
        <f t="shared" si="202"/>
        <v>9290</v>
      </c>
      <c r="Y931">
        <f t="shared" si="201"/>
        <v>60</v>
      </c>
      <c r="Z931" s="4">
        <f t="shared" si="210"/>
        <v>2666666.6666666665</v>
      </c>
      <c r="AA931" s="3">
        <f t="shared" si="210"/>
        <v>60</v>
      </c>
      <c r="AB931" t="str">
        <f t="shared" si="211"/>
        <v>28B0AA</v>
      </c>
    </row>
    <row r="932" spans="14:28">
      <c r="N932">
        <v>930</v>
      </c>
      <c r="O932">
        <f t="shared" si="203"/>
        <v>1300</v>
      </c>
      <c r="P932">
        <f t="shared" si="205"/>
        <v>9300</v>
      </c>
      <c r="Q932">
        <f t="shared" si="206"/>
        <v>161</v>
      </c>
      <c r="R932" s="4">
        <f t="shared" si="207"/>
        <v>993788.81987577642</v>
      </c>
      <c r="S932" s="3">
        <f t="shared" si="208"/>
        <v>161</v>
      </c>
      <c r="T932" t="str">
        <f t="shared" si="209"/>
        <v>F29FC</v>
      </c>
      <c r="V932">
        <v>930</v>
      </c>
      <c r="W932">
        <f t="shared" si="200"/>
        <v>900</v>
      </c>
      <c r="X932">
        <f t="shared" si="202"/>
        <v>9300</v>
      </c>
      <c r="Y932">
        <f t="shared" si="201"/>
        <v>60</v>
      </c>
      <c r="Z932" s="4">
        <f t="shared" si="210"/>
        <v>2666666.6666666665</v>
      </c>
      <c r="AA932" s="3">
        <f t="shared" si="210"/>
        <v>60</v>
      </c>
      <c r="AB932" t="str">
        <f t="shared" si="211"/>
        <v>28B0AA</v>
      </c>
    </row>
    <row r="933" spans="14:28">
      <c r="N933">
        <v>931</v>
      </c>
      <c r="O933">
        <f t="shared" si="203"/>
        <v>1310</v>
      </c>
      <c r="P933">
        <f t="shared" si="205"/>
        <v>9310</v>
      </c>
      <c r="Q933">
        <f t="shared" si="206"/>
        <v>153.19999999999999</v>
      </c>
      <c r="R933" s="4">
        <f t="shared" si="207"/>
        <v>1044386.4229765014</v>
      </c>
      <c r="S933" s="3">
        <f t="shared" si="208"/>
        <v>153.19999999999999</v>
      </c>
      <c r="T933" t="str">
        <f t="shared" si="209"/>
        <v>FEFA2</v>
      </c>
      <c r="V933">
        <v>931</v>
      </c>
      <c r="W933">
        <f t="shared" si="200"/>
        <v>910</v>
      </c>
      <c r="X933">
        <f t="shared" si="202"/>
        <v>9310</v>
      </c>
      <c r="Y933">
        <f t="shared" si="201"/>
        <v>60</v>
      </c>
      <c r="Z933" s="4">
        <f t="shared" si="210"/>
        <v>2666666.6666666665</v>
      </c>
      <c r="AA933" s="3">
        <f t="shared" si="210"/>
        <v>60</v>
      </c>
      <c r="AB933" t="str">
        <f t="shared" si="211"/>
        <v>28B0AA</v>
      </c>
    </row>
    <row r="934" spans="14:28">
      <c r="N934">
        <v>932</v>
      </c>
      <c r="O934">
        <f t="shared" si="203"/>
        <v>1320</v>
      </c>
      <c r="P934">
        <f t="shared" si="205"/>
        <v>9320</v>
      </c>
      <c r="Q934">
        <f t="shared" si="206"/>
        <v>145.4</v>
      </c>
      <c r="R934" s="4">
        <f t="shared" si="207"/>
        <v>1100412.6547455296</v>
      </c>
      <c r="S934" s="3">
        <f t="shared" si="208"/>
        <v>145.39999999999998</v>
      </c>
      <c r="T934" t="str">
        <f t="shared" si="209"/>
        <v>10CA7C</v>
      </c>
      <c r="V934">
        <v>932</v>
      </c>
      <c r="W934">
        <f t="shared" si="200"/>
        <v>920</v>
      </c>
      <c r="X934">
        <f t="shared" si="202"/>
        <v>9320</v>
      </c>
      <c r="Y934">
        <f t="shared" si="201"/>
        <v>60</v>
      </c>
      <c r="Z934" s="4">
        <f t="shared" si="210"/>
        <v>2666666.6666666665</v>
      </c>
      <c r="AA934" s="3">
        <f t="shared" si="210"/>
        <v>60</v>
      </c>
      <c r="AB934" t="str">
        <f t="shared" si="211"/>
        <v>28B0AA</v>
      </c>
    </row>
    <row r="935" spans="14:28">
      <c r="N935">
        <v>933</v>
      </c>
      <c r="O935">
        <f t="shared" si="203"/>
        <v>1330</v>
      </c>
      <c r="P935">
        <f t="shared" si="205"/>
        <v>9330</v>
      </c>
      <c r="Q935">
        <f t="shared" si="206"/>
        <v>137.60000000000002</v>
      </c>
      <c r="R935" s="4">
        <f t="shared" si="207"/>
        <v>1162790.6976744183</v>
      </c>
      <c r="S935" s="3">
        <f t="shared" si="208"/>
        <v>137.60000000000002</v>
      </c>
      <c r="T935" t="str">
        <f t="shared" si="209"/>
        <v>11BE26</v>
      </c>
      <c r="V935">
        <v>933</v>
      </c>
      <c r="W935">
        <f t="shared" si="200"/>
        <v>930</v>
      </c>
      <c r="X935">
        <f t="shared" si="202"/>
        <v>9330</v>
      </c>
      <c r="Y935">
        <f t="shared" si="201"/>
        <v>60</v>
      </c>
      <c r="Z935" s="4">
        <f t="shared" si="210"/>
        <v>2666666.6666666665</v>
      </c>
      <c r="AA935" s="3">
        <f t="shared" si="210"/>
        <v>60</v>
      </c>
      <c r="AB935" t="str">
        <f t="shared" si="211"/>
        <v>28B0AA</v>
      </c>
    </row>
    <row r="936" spans="14:28">
      <c r="N936">
        <v>934</v>
      </c>
      <c r="O936">
        <f t="shared" si="203"/>
        <v>1340</v>
      </c>
      <c r="P936">
        <f t="shared" si="205"/>
        <v>9340</v>
      </c>
      <c r="Q936">
        <f t="shared" si="206"/>
        <v>129.80000000000001</v>
      </c>
      <c r="R936" s="4">
        <f t="shared" si="207"/>
        <v>1232665.6394453004</v>
      </c>
      <c r="S936" s="3">
        <f t="shared" si="208"/>
        <v>129.80000000000001</v>
      </c>
      <c r="T936" t="str">
        <f t="shared" si="209"/>
        <v>12CF19</v>
      </c>
      <c r="V936">
        <v>934</v>
      </c>
      <c r="W936">
        <f t="shared" si="200"/>
        <v>940</v>
      </c>
      <c r="X936">
        <f t="shared" si="202"/>
        <v>9340</v>
      </c>
      <c r="Y936">
        <f t="shared" si="201"/>
        <v>60</v>
      </c>
      <c r="Z936" s="4">
        <f t="shared" si="210"/>
        <v>2666666.6666666665</v>
      </c>
      <c r="AA936" s="3">
        <f t="shared" si="210"/>
        <v>60</v>
      </c>
      <c r="AB936" t="str">
        <f t="shared" si="211"/>
        <v>28B0AA</v>
      </c>
    </row>
    <row r="937" spans="14:28">
      <c r="N937">
        <v>935</v>
      </c>
      <c r="O937">
        <f t="shared" si="203"/>
        <v>1350</v>
      </c>
      <c r="P937">
        <f t="shared" si="205"/>
        <v>9350</v>
      </c>
      <c r="Q937">
        <f t="shared" si="206"/>
        <v>122</v>
      </c>
      <c r="R937" s="4">
        <f t="shared" si="207"/>
        <v>1311475.4098360655</v>
      </c>
      <c r="S937" s="3">
        <f t="shared" si="208"/>
        <v>122.00000000000001</v>
      </c>
      <c r="T937" t="str">
        <f t="shared" si="209"/>
        <v>1402F3</v>
      </c>
      <c r="V937">
        <v>935</v>
      </c>
      <c r="W937">
        <f t="shared" si="200"/>
        <v>950</v>
      </c>
      <c r="X937">
        <f t="shared" si="202"/>
        <v>9350</v>
      </c>
      <c r="Y937">
        <f t="shared" si="201"/>
        <v>60</v>
      </c>
      <c r="Z937" s="4">
        <f t="shared" si="210"/>
        <v>2666666.6666666665</v>
      </c>
      <c r="AA937" s="3">
        <f t="shared" si="210"/>
        <v>60</v>
      </c>
      <c r="AB937" t="str">
        <f t="shared" si="211"/>
        <v>28B0AA</v>
      </c>
    </row>
    <row r="938" spans="14:28">
      <c r="N938">
        <v>936</v>
      </c>
      <c r="O938">
        <f t="shared" si="203"/>
        <v>1360</v>
      </c>
      <c r="P938">
        <f t="shared" si="205"/>
        <v>9360</v>
      </c>
      <c r="Q938">
        <f t="shared" si="206"/>
        <v>114.20000000000002</v>
      </c>
      <c r="R938" s="4">
        <f t="shared" si="207"/>
        <v>1401050.7880910682</v>
      </c>
      <c r="S938" s="3">
        <f t="shared" si="208"/>
        <v>114.20000000000002</v>
      </c>
      <c r="T938" t="str">
        <f t="shared" si="209"/>
        <v>1560DA</v>
      </c>
      <c r="V938">
        <v>936</v>
      </c>
      <c r="W938">
        <f t="shared" si="200"/>
        <v>960</v>
      </c>
      <c r="X938">
        <f t="shared" si="202"/>
        <v>9360</v>
      </c>
      <c r="Y938">
        <f t="shared" si="201"/>
        <v>60</v>
      </c>
      <c r="Z938" s="4">
        <f t="shared" si="210"/>
        <v>2666666.6666666665</v>
      </c>
      <c r="AA938" s="3">
        <f t="shared" si="210"/>
        <v>60</v>
      </c>
      <c r="AB938" t="str">
        <f t="shared" si="211"/>
        <v>28B0AA</v>
      </c>
    </row>
    <row r="939" spans="14:28">
      <c r="N939">
        <v>937</v>
      </c>
      <c r="O939">
        <f t="shared" si="203"/>
        <v>1370</v>
      </c>
      <c r="P939">
        <f t="shared" si="205"/>
        <v>9370</v>
      </c>
      <c r="Q939">
        <f t="shared" si="206"/>
        <v>106.4</v>
      </c>
      <c r="R939" s="4">
        <f t="shared" si="207"/>
        <v>1503759.3984962406</v>
      </c>
      <c r="S939" s="3">
        <f t="shared" si="208"/>
        <v>106.4</v>
      </c>
      <c r="T939" t="str">
        <f t="shared" si="209"/>
        <v>16F20F</v>
      </c>
      <c r="V939">
        <v>937</v>
      </c>
      <c r="W939">
        <f t="shared" si="200"/>
        <v>970</v>
      </c>
      <c r="X939">
        <f t="shared" si="202"/>
        <v>9370</v>
      </c>
      <c r="Y939">
        <f t="shared" si="201"/>
        <v>60</v>
      </c>
      <c r="Z939" s="4">
        <f t="shared" ref="Z939:AA958" si="212">IFERROR(160*1000*1000/Y939,0)</f>
        <v>2666666.6666666665</v>
      </c>
      <c r="AA939" s="3">
        <f t="shared" si="212"/>
        <v>60</v>
      </c>
      <c r="AB939" t="str">
        <f t="shared" si="211"/>
        <v>28B0AA</v>
      </c>
    </row>
    <row r="940" spans="14:28">
      <c r="N940">
        <v>938</v>
      </c>
      <c r="O940">
        <f t="shared" si="203"/>
        <v>1380</v>
      </c>
      <c r="P940">
        <f t="shared" si="205"/>
        <v>9380</v>
      </c>
      <c r="Q940">
        <f t="shared" si="206"/>
        <v>98.6</v>
      </c>
      <c r="R940" s="4">
        <f t="shared" si="207"/>
        <v>1622718.0527383368</v>
      </c>
      <c r="S940" s="3">
        <f t="shared" si="208"/>
        <v>98.6</v>
      </c>
      <c r="T940" t="str">
        <f t="shared" si="209"/>
        <v>18C2BE</v>
      </c>
      <c r="V940">
        <v>938</v>
      </c>
      <c r="W940">
        <f t="shared" si="200"/>
        <v>980</v>
      </c>
      <c r="X940">
        <f t="shared" si="202"/>
        <v>9380</v>
      </c>
      <c r="Y940">
        <f t="shared" si="201"/>
        <v>60</v>
      </c>
      <c r="Z940" s="4">
        <f t="shared" si="212"/>
        <v>2666666.6666666665</v>
      </c>
      <c r="AA940" s="3">
        <f t="shared" si="212"/>
        <v>60</v>
      </c>
      <c r="AB940" t="str">
        <f t="shared" si="211"/>
        <v>28B0AA</v>
      </c>
    </row>
    <row r="941" spans="14:28">
      <c r="N941">
        <v>939</v>
      </c>
      <c r="O941">
        <f t="shared" si="203"/>
        <v>1390</v>
      </c>
      <c r="P941">
        <f t="shared" si="205"/>
        <v>9390</v>
      </c>
      <c r="Q941">
        <f t="shared" si="206"/>
        <v>90.8</v>
      </c>
      <c r="R941" s="4">
        <f t="shared" si="207"/>
        <v>1762114.537444934</v>
      </c>
      <c r="S941" s="3">
        <f t="shared" si="208"/>
        <v>90.8</v>
      </c>
      <c r="T941" t="str">
        <f t="shared" si="209"/>
        <v>1AE342</v>
      </c>
      <c r="V941">
        <v>939</v>
      </c>
      <c r="W941">
        <f t="shared" si="200"/>
        <v>990</v>
      </c>
      <c r="X941">
        <f t="shared" si="202"/>
        <v>9390</v>
      </c>
      <c r="Y941">
        <f t="shared" si="201"/>
        <v>60</v>
      </c>
      <c r="Z941" s="4">
        <f t="shared" si="212"/>
        <v>2666666.6666666665</v>
      </c>
      <c r="AA941" s="3">
        <f t="shared" si="212"/>
        <v>60</v>
      </c>
      <c r="AB941" t="str">
        <f t="shared" si="211"/>
        <v>28B0AA</v>
      </c>
    </row>
    <row r="942" spans="14:28">
      <c r="N942">
        <v>940</v>
      </c>
      <c r="O942">
        <f t="shared" si="203"/>
        <v>1400</v>
      </c>
      <c r="P942">
        <f t="shared" si="205"/>
        <v>9400</v>
      </c>
      <c r="Q942">
        <f t="shared" si="206"/>
        <v>83</v>
      </c>
      <c r="R942" s="4">
        <f t="shared" si="207"/>
        <v>1927710.843373494</v>
      </c>
      <c r="S942" s="3">
        <f t="shared" si="208"/>
        <v>83</v>
      </c>
      <c r="T942" t="str">
        <f t="shared" si="209"/>
        <v>1D6A1E</v>
      </c>
      <c r="V942">
        <v>940</v>
      </c>
      <c r="W942">
        <f t="shared" si="200"/>
        <v>1000</v>
      </c>
      <c r="X942">
        <f t="shared" si="202"/>
        <v>9400</v>
      </c>
      <c r="Y942">
        <f t="shared" si="201"/>
        <v>60</v>
      </c>
      <c r="Z942" s="4">
        <f t="shared" si="212"/>
        <v>2666666.6666666665</v>
      </c>
      <c r="AA942" s="3">
        <f t="shared" si="212"/>
        <v>60</v>
      </c>
      <c r="AB942" t="str">
        <f t="shared" si="211"/>
        <v>28B0AA</v>
      </c>
    </row>
    <row r="943" spans="14:28">
      <c r="N943">
        <v>941</v>
      </c>
      <c r="O943">
        <f t="shared" si="203"/>
        <v>1410</v>
      </c>
      <c r="P943">
        <f t="shared" si="205"/>
        <v>9410</v>
      </c>
      <c r="Q943">
        <f t="shared" si="206"/>
        <v>75.2</v>
      </c>
      <c r="R943" s="4">
        <f t="shared" si="207"/>
        <v>2127659.5744680851</v>
      </c>
      <c r="S943" s="3">
        <f t="shared" si="208"/>
        <v>75.2</v>
      </c>
      <c r="T943" t="str">
        <f t="shared" si="209"/>
        <v>20772B</v>
      </c>
      <c r="V943">
        <v>941</v>
      </c>
      <c r="W943">
        <f t="shared" si="200"/>
        <v>1010</v>
      </c>
      <c r="X943">
        <f t="shared" si="202"/>
        <v>9410</v>
      </c>
      <c r="Y943">
        <f t="shared" si="201"/>
        <v>60</v>
      </c>
      <c r="Z943" s="4">
        <f t="shared" si="212"/>
        <v>2666666.6666666665</v>
      </c>
      <c r="AA943" s="3">
        <f t="shared" si="212"/>
        <v>60</v>
      </c>
      <c r="AB943" t="str">
        <f t="shared" si="211"/>
        <v>28B0AA</v>
      </c>
    </row>
    <row r="944" spans="14:28">
      <c r="N944">
        <v>942</v>
      </c>
      <c r="O944">
        <f t="shared" si="203"/>
        <v>1420</v>
      </c>
      <c r="P944">
        <f t="shared" si="205"/>
        <v>9420</v>
      </c>
      <c r="Q944">
        <f t="shared" si="206"/>
        <v>67.400000000000006</v>
      </c>
      <c r="R944" s="4">
        <f t="shared" si="207"/>
        <v>2373887.240356083</v>
      </c>
      <c r="S944" s="3">
        <f t="shared" si="208"/>
        <v>67.400000000000006</v>
      </c>
      <c r="T944" t="str">
        <f t="shared" si="209"/>
        <v>2438FF</v>
      </c>
      <c r="V944">
        <v>942</v>
      </c>
      <c r="W944">
        <f t="shared" si="200"/>
        <v>1020</v>
      </c>
      <c r="X944">
        <f t="shared" si="202"/>
        <v>9420</v>
      </c>
      <c r="Y944">
        <f t="shared" si="201"/>
        <v>60</v>
      </c>
      <c r="Z944" s="4">
        <f t="shared" si="212"/>
        <v>2666666.6666666665</v>
      </c>
      <c r="AA944" s="3">
        <f t="shared" si="212"/>
        <v>60</v>
      </c>
      <c r="AB944" t="str">
        <f t="shared" si="211"/>
        <v>28B0AA</v>
      </c>
    </row>
    <row r="945" spans="14:28">
      <c r="N945">
        <v>943</v>
      </c>
      <c r="O945">
        <f t="shared" si="203"/>
        <v>1430</v>
      </c>
      <c r="P945">
        <f t="shared" si="205"/>
        <v>9430</v>
      </c>
      <c r="Q945">
        <f t="shared" si="206"/>
        <v>59.600000000000009</v>
      </c>
      <c r="R945" s="4">
        <f t="shared" si="207"/>
        <v>2684563.7583892616</v>
      </c>
      <c r="S945" s="3">
        <f t="shared" si="208"/>
        <v>59.6</v>
      </c>
      <c r="T945" t="str">
        <f t="shared" si="209"/>
        <v>28F693</v>
      </c>
      <c r="V945">
        <v>943</v>
      </c>
      <c r="W945">
        <f t="shared" si="200"/>
        <v>1030</v>
      </c>
      <c r="X945">
        <f t="shared" si="202"/>
        <v>9430</v>
      </c>
      <c r="Y945">
        <f t="shared" si="201"/>
        <v>60</v>
      </c>
      <c r="Z945" s="4">
        <f t="shared" si="212"/>
        <v>2666666.6666666665</v>
      </c>
      <c r="AA945" s="3">
        <f t="shared" si="212"/>
        <v>60</v>
      </c>
      <c r="AB945" t="str">
        <f t="shared" si="211"/>
        <v>28B0AA</v>
      </c>
    </row>
    <row r="946" spans="14:28">
      <c r="N946">
        <v>944</v>
      </c>
      <c r="O946">
        <f t="shared" si="203"/>
        <v>1440</v>
      </c>
      <c r="P946">
        <f t="shared" si="205"/>
        <v>9440</v>
      </c>
      <c r="Q946">
        <f t="shared" si="206"/>
        <v>51.8</v>
      </c>
      <c r="R946" s="4">
        <f t="shared" si="207"/>
        <v>3088803.0888030888</v>
      </c>
      <c r="S946" s="3">
        <f t="shared" si="208"/>
        <v>51.800000000000004</v>
      </c>
      <c r="T946" t="str">
        <f t="shared" si="209"/>
        <v>2F21A3</v>
      </c>
      <c r="V946">
        <v>944</v>
      </c>
      <c r="W946">
        <f t="shared" si="200"/>
        <v>1040</v>
      </c>
      <c r="X946">
        <f t="shared" si="202"/>
        <v>9440</v>
      </c>
      <c r="Y946">
        <f t="shared" si="201"/>
        <v>60</v>
      </c>
      <c r="Z946" s="4">
        <f t="shared" si="212"/>
        <v>2666666.6666666665</v>
      </c>
      <c r="AA946" s="3">
        <f t="shared" si="212"/>
        <v>60</v>
      </c>
      <c r="AB946" t="str">
        <f t="shared" si="211"/>
        <v>28B0AA</v>
      </c>
    </row>
    <row r="947" spans="14:28">
      <c r="N947">
        <v>945</v>
      </c>
      <c r="O947">
        <f t="shared" si="203"/>
        <v>1450</v>
      </c>
      <c r="P947">
        <f t="shared" si="205"/>
        <v>9450</v>
      </c>
      <c r="Q947">
        <f t="shared" si="206"/>
        <v>44</v>
      </c>
      <c r="R947" s="4">
        <f t="shared" si="207"/>
        <v>3636363.6363636362</v>
      </c>
      <c r="S947" s="3">
        <f t="shared" si="208"/>
        <v>44</v>
      </c>
      <c r="T947" t="str">
        <f t="shared" si="209"/>
        <v>377C8B</v>
      </c>
      <c r="V947">
        <v>945</v>
      </c>
      <c r="W947">
        <f t="shared" si="200"/>
        <v>1050</v>
      </c>
      <c r="X947">
        <f t="shared" si="202"/>
        <v>9450</v>
      </c>
      <c r="Y947">
        <f t="shared" si="201"/>
        <v>60</v>
      </c>
      <c r="Z947" s="4">
        <f t="shared" si="212"/>
        <v>2666666.6666666665</v>
      </c>
      <c r="AA947" s="3">
        <f t="shared" si="212"/>
        <v>60</v>
      </c>
      <c r="AB947" t="str">
        <f t="shared" si="211"/>
        <v>28B0AA</v>
      </c>
    </row>
    <row r="948" spans="14:28">
      <c r="N948">
        <v>946</v>
      </c>
      <c r="O948">
        <f t="shared" si="203"/>
        <v>1460</v>
      </c>
      <c r="P948">
        <f t="shared" si="205"/>
        <v>9460</v>
      </c>
      <c r="Q948">
        <f t="shared" si="206"/>
        <v>36.200000000000003</v>
      </c>
      <c r="R948" s="4">
        <f t="shared" si="207"/>
        <v>4419889.5027624303</v>
      </c>
      <c r="S948" s="3">
        <f t="shared" si="208"/>
        <v>36.200000000000003</v>
      </c>
      <c r="T948" t="str">
        <f t="shared" si="209"/>
        <v>437131</v>
      </c>
      <c r="V948">
        <v>946</v>
      </c>
      <c r="W948">
        <f t="shared" si="200"/>
        <v>1060</v>
      </c>
      <c r="X948">
        <f t="shared" si="202"/>
        <v>9460</v>
      </c>
      <c r="Y948">
        <f t="shared" si="201"/>
        <v>60</v>
      </c>
      <c r="Z948" s="4">
        <f t="shared" si="212"/>
        <v>2666666.6666666665</v>
      </c>
      <c r="AA948" s="3">
        <f t="shared" si="212"/>
        <v>60</v>
      </c>
      <c r="AB948" t="str">
        <f t="shared" si="211"/>
        <v>28B0AA</v>
      </c>
    </row>
    <row r="949" spans="14:28">
      <c r="N949">
        <v>947</v>
      </c>
      <c r="O949">
        <f t="shared" si="203"/>
        <v>1470</v>
      </c>
      <c r="P949">
        <f t="shared" si="205"/>
        <v>9470</v>
      </c>
      <c r="Q949">
        <f t="shared" si="206"/>
        <v>28.4</v>
      </c>
      <c r="R949" s="4">
        <f t="shared" si="207"/>
        <v>5633802.8169014091</v>
      </c>
      <c r="S949" s="3">
        <f t="shared" si="208"/>
        <v>28.4</v>
      </c>
      <c r="T949" t="str">
        <f t="shared" si="209"/>
        <v>55F70A</v>
      </c>
      <c r="V949">
        <v>947</v>
      </c>
      <c r="W949">
        <f t="shared" si="200"/>
        <v>1070</v>
      </c>
      <c r="X949">
        <f t="shared" si="202"/>
        <v>9470</v>
      </c>
      <c r="Y949">
        <f t="shared" si="201"/>
        <v>60</v>
      </c>
      <c r="Z949" s="4">
        <f t="shared" si="212"/>
        <v>2666666.6666666665</v>
      </c>
      <c r="AA949" s="3">
        <f t="shared" si="212"/>
        <v>60</v>
      </c>
      <c r="AB949" t="str">
        <f t="shared" si="211"/>
        <v>28B0AA</v>
      </c>
    </row>
    <row r="950" spans="14:28">
      <c r="N950">
        <v>948</v>
      </c>
      <c r="O950">
        <f t="shared" si="203"/>
        <v>1480</v>
      </c>
      <c r="P950">
        <f t="shared" si="205"/>
        <v>9480</v>
      </c>
      <c r="Q950">
        <f t="shared" si="206"/>
        <v>20.6</v>
      </c>
      <c r="R950" s="4">
        <f t="shared" si="207"/>
        <v>7766990.2912621358</v>
      </c>
      <c r="S950" s="3">
        <f t="shared" si="208"/>
        <v>20.6</v>
      </c>
      <c r="T950" t="str">
        <f t="shared" si="209"/>
        <v>7683CE</v>
      </c>
      <c r="V950">
        <v>948</v>
      </c>
      <c r="W950">
        <f t="shared" si="200"/>
        <v>1080</v>
      </c>
      <c r="X950">
        <f t="shared" si="202"/>
        <v>9480</v>
      </c>
      <c r="Y950">
        <f t="shared" si="201"/>
        <v>60</v>
      </c>
      <c r="Z950" s="4">
        <f t="shared" si="212"/>
        <v>2666666.6666666665</v>
      </c>
      <c r="AA950" s="3">
        <f t="shared" si="212"/>
        <v>60</v>
      </c>
      <c r="AB950" t="str">
        <f t="shared" si="211"/>
        <v>28B0AA</v>
      </c>
    </row>
    <row r="951" spans="14:28">
      <c r="N951">
        <v>949</v>
      </c>
      <c r="O951">
        <f t="shared" si="203"/>
        <v>1490</v>
      </c>
      <c r="P951">
        <f t="shared" si="205"/>
        <v>9490</v>
      </c>
      <c r="Q951">
        <f t="shared" si="206"/>
        <v>12.8</v>
      </c>
      <c r="R951" s="4">
        <f t="shared" si="207"/>
        <v>12500000</v>
      </c>
      <c r="S951" s="3">
        <f t="shared" si="208"/>
        <v>12.8</v>
      </c>
      <c r="T951" t="str">
        <f t="shared" si="209"/>
        <v>BEBC20</v>
      </c>
      <c r="V951">
        <v>949</v>
      </c>
      <c r="W951">
        <f t="shared" si="200"/>
        <v>1090</v>
      </c>
      <c r="X951">
        <f t="shared" si="202"/>
        <v>9490</v>
      </c>
      <c r="Y951">
        <f t="shared" si="201"/>
        <v>60</v>
      </c>
      <c r="Z951" s="4">
        <f t="shared" si="212"/>
        <v>2666666.6666666665</v>
      </c>
      <c r="AA951" s="3">
        <f t="shared" si="212"/>
        <v>60</v>
      </c>
      <c r="AB951" t="str">
        <f t="shared" si="211"/>
        <v>28B0AA</v>
      </c>
    </row>
    <row r="952" spans="14:28">
      <c r="N952">
        <v>950</v>
      </c>
      <c r="O952">
        <f t="shared" si="203"/>
        <v>1500</v>
      </c>
      <c r="P952">
        <f t="shared" si="205"/>
        <v>9500</v>
      </c>
      <c r="Q952">
        <f t="shared" si="206"/>
        <v>5</v>
      </c>
      <c r="R952" s="4">
        <f t="shared" si="207"/>
        <v>32000000</v>
      </c>
      <c r="S952" s="3">
        <f t="shared" si="208"/>
        <v>5</v>
      </c>
      <c r="T952" t="str">
        <f t="shared" si="209"/>
        <v>1E84800</v>
      </c>
      <c r="V952">
        <v>950</v>
      </c>
      <c r="W952">
        <f t="shared" si="200"/>
        <v>1100</v>
      </c>
      <c r="X952">
        <f t="shared" si="202"/>
        <v>9500</v>
      </c>
      <c r="Y952">
        <f t="shared" si="201"/>
        <v>60</v>
      </c>
      <c r="Z952" s="4">
        <f t="shared" si="212"/>
        <v>2666666.6666666665</v>
      </c>
      <c r="AA952" s="3">
        <f t="shared" si="212"/>
        <v>60</v>
      </c>
      <c r="AB952" t="str">
        <f t="shared" si="211"/>
        <v>28B0AA</v>
      </c>
    </row>
    <row r="953" spans="14:28">
      <c r="N953">
        <v>951</v>
      </c>
      <c r="O953">
        <f t="shared" si="203"/>
        <v>1510</v>
      </c>
      <c r="P953">
        <f t="shared" si="205"/>
        <v>9510</v>
      </c>
      <c r="Q953">
        <f t="shared" si="206"/>
        <v>0</v>
      </c>
      <c r="R953" s="4">
        <f t="shared" si="207"/>
        <v>0</v>
      </c>
      <c r="S953" s="3">
        <f t="shared" si="208"/>
        <v>0</v>
      </c>
      <c r="T953" t="str">
        <f t="shared" si="209"/>
        <v>0</v>
      </c>
      <c r="V953">
        <v>951</v>
      </c>
      <c r="W953">
        <f t="shared" si="200"/>
        <v>1110</v>
      </c>
      <c r="X953">
        <f t="shared" si="202"/>
        <v>9510</v>
      </c>
      <c r="Y953">
        <f t="shared" si="201"/>
        <v>60</v>
      </c>
      <c r="Z953" s="4">
        <f t="shared" si="212"/>
        <v>2666666.6666666665</v>
      </c>
      <c r="AA953" s="3">
        <f t="shared" si="212"/>
        <v>60</v>
      </c>
      <c r="AB953" t="str">
        <f t="shared" si="211"/>
        <v>28B0AA</v>
      </c>
    </row>
    <row r="954" spans="14:28">
      <c r="N954">
        <v>952</v>
      </c>
      <c r="O954">
        <f t="shared" si="203"/>
        <v>1520</v>
      </c>
      <c r="P954">
        <f t="shared" si="205"/>
        <v>9520</v>
      </c>
      <c r="Q954">
        <f t="shared" si="206"/>
        <v>0</v>
      </c>
      <c r="R954" s="4">
        <f t="shared" si="207"/>
        <v>0</v>
      </c>
      <c r="S954" s="3">
        <f t="shared" si="208"/>
        <v>0</v>
      </c>
      <c r="T954" t="str">
        <f t="shared" si="209"/>
        <v>0</v>
      </c>
      <c r="V954">
        <v>952</v>
      </c>
      <c r="W954">
        <f t="shared" si="200"/>
        <v>1120</v>
      </c>
      <c r="X954">
        <f t="shared" si="202"/>
        <v>9520</v>
      </c>
      <c r="Y954">
        <f t="shared" si="201"/>
        <v>60</v>
      </c>
      <c r="Z954" s="4">
        <f t="shared" si="212"/>
        <v>2666666.6666666665</v>
      </c>
      <c r="AA954" s="3">
        <f t="shared" si="212"/>
        <v>60</v>
      </c>
      <c r="AB954" t="str">
        <f t="shared" si="211"/>
        <v>28B0AA</v>
      </c>
    </row>
    <row r="955" spans="14:28">
      <c r="N955">
        <v>953</v>
      </c>
      <c r="O955">
        <f t="shared" si="203"/>
        <v>1530</v>
      </c>
      <c r="P955">
        <f t="shared" si="205"/>
        <v>9530</v>
      </c>
      <c r="Q955">
        <f t="shared" si="206"/>
        <v>0</v>
      </c>
      <c r="R955" s="4">
        <f t="shared" si="207"/>
        <v>0</v>
      </c>
      <c r="S955" s="3">
        <f t="shared" si="208"/>
        <v>0</v>
      </c>
      <c r="T955" t="str">
        <f t="shared" si="209"/>
        <v>0</v>
      </c>
      <c r="V955">
        <v>953</v>
      </c>
      <c r="W955">
        <f t="shared" si="200"/>
        <v>1130</v>
      </c>
      <c r="X955">
        <f t="shared" si="202"/>
        <v>9530</v>
      </c>
      <c r="Y955">
        <f t="shared" si="201"/>
        <v>60</v>
      </c>
      <c r="Z955" s="4">
        <f t="shared" si="212"/>
        <v>2666666.6666666665</v>
      </c>
      <c r="AA955" s="3">
        <f t="shared" si="212"/>
        <v>60</v>
      </c>
      <c r="AB955" t="str">
        <f t="shared" si="211"/>
        <v>28B0AA</v>
      </c>
    </row>
    <row r="956" spans="14:28">
      <c r="N956">
        <v>954</v>
      </c>
      <c r="O956">
        <f t="shared" si="203"/>
        <v>1540</v>
      </c>
      <c r="P956">
        <f t="shared" si="205"/>
        <v>9540</v>
      </c>
      <c r="Q956">
        <f t="shared" si="206"/>
        <v>0</v>
      </c>
      <c r="R956" s="4">
        <f t="shared" si="207"/>
        <v>0</v>
      </c>
      <c r="S956" s="3">
        <f t="shared" si="208"/>
        <v>0</v>
      </c>
      <c r="T956" t="str">
        <f t="shared" si="209"/>
        <v>0</v>
      </c>
      <c r="V956">
        <v>954</v>
      </c>
      <c r="W956">
        <f t="shared" si="200"/>
        <v>1140</v>
      </c>
      <c r="X956">
        <f t="shared" si="202"/>
        <v>9540</v>
      </c>
      <c r="Y956">
        <f t="shared" si="201"/>
        <v>60</v>
      </c>
      <c r="Z956" s="4">
        <f t="shared" si="212"/>
        <v>2666666.6666666665</v>
      </c>
      <c r="AA956" s="3">
        <f t="shared" si="212"/>
        <v>60</v>
      </c>
      <c r="AB956" t="str">
        <f t="shared" si="211"/>
        <v>28B0AA</v>
      </c>
    </row>
    <row r="957" spans="14:28">
      <c r="N957">
        <v>955</v>
      </c>
      <c r="O957">
        <f t="shared" si="203"/>
        <v>1550</v>
      </c>
      <c r="P957">
        <f t="shared" si="205"/>
        <v>9550</v>
      </c>
      <c r="Q957">
        <f t="shared" si="206"/>
        <v>0</v>
      </c>
      <c r="R957" s="4">
        <f t="shared" si="207"/>
        <v>0</v>
      </c>
      <c r="S957" s="3">
        <f t="shared" si="208"/>
        <v>0</v>
      </c>
      <c r="T957" t="str">
        <f t="shared" si="209"/>
        <v>0</v>
      </c>
      <c r="V957">
        <v>955</v>
      </c>
      <c r="W957">
        <f t="shared" si="200"/>
        <v>1150</v>
      </c>
      <c r="X957">
        <f t="shared" si="202"/>
        <v>9550</v>
      </c>
      <c r="Y957">
        <f t="shared" si="201"/>
        <v>60</v>
      </c>
      <c r="Z957" s="4">
        <f t="shared" si="212"/>
        <v>2666666.6666666665</v>
      </c>
      <c r="AA957" s="3">
        <f t="shared" si="212"/>
        <v>60</v>
      </c>
      <c r="AB957" t="str">
        <f t="shared" si="211"/>
        <v>28B0AA</v>
      </c>
    </row>
    <row r="958" spans="14:28">
      <c r="N958">
        <v>956</v>
      </c>
      <c r="O958">
        <f t="shared" si="203"/>
        <v>1560</v>
      </c>
      <c r="P958">
        <f t="shared" si="205"/>
        <v>9560</v>
      </c>
      <c r="Q958">
        <f t="shared" si="206"/>
        <v>0</v>
      </c>
      <c r="R958" s="4">
        <f t="shared" si="207"/>
        <v>0</v>
      </c>
      <c r="S958" s="3">
        <f t="shared" si="208"/>
        <v>0</v>
      </c>
      <c r="T958" t="str">
        <f t="shared" si="209"/>
        <v>0</v>
      </c>
      <c r="V958">
        <v>956</v>
      </c>
      <c r="W958">
        <f t="shared" si="200"/>
        <v>1160</v>
      </c>
      <c r="X958">
        <f t="shared" si="202"/>
        <v>9560</v>
      </c>
      <c r="Y958">
        <f t="shared" si="201"/>
        <v>60</v>
      </c>
      <c r="Z958" s="4">
        <f t="shared" si="212"/>
        <v>2666666.6666666665</v>
      </c>
      <c r="AA958" s="3">
        <f t="shared" si="212"/>
        <v>60</v>
      </c>
      <c r="AB958" t="str">
        <f t="shared" si="211"/>
        <v>28B0AA</v>
      </c>
    </row>
    <row r="959" spans="14:28">
      <c r="N959">
        <v>957</v>
      </c>
      <c r="O959">
        <f t="shared" si="203"/>
        <v>1570</v>
      </c>
      <c r="P959">
        <f t="shared" si="205"/>
        <v>9570</v>
      </c>
      <c r="Q959">
        <f t="shared" si="206"/>
        <v>0</v>
      </c>
      <c r="R959" s="4">
        <f t="shared" si="207"/>
        <v>0</v>
      </c>
      <c r="S959" s="3">
        <f t="shared" si="208"/>
        <v>0</v>
      </c>
      <c r="T959" t="str">
        <f t="shared" si="209"/>
        <v>0</v>
      </c>
      <c r="V959">
        <v>957</v>
      </c>
      <c r="W959">
        <f t="shared" ref="W959:W1022" si="213">MOD(X959,$A$14+$A$15)</f>
        <v>1170</v>
      </c>
      <c r="X959">
        <f t="shared" si="202"/>
        <v>9570</v>
      </c>
      <c r="Y959">
        <f t="shared" ref="Y959:Y1023" si="214">IF(W959&gt;$A$14,0,IF(W959&lt;$A$13,W959/($A$13)*($A$11-$A$12)+$A$12,IF($A$14-W959&lt;$A$13,($A$14-W959)/($A$13)*($A$11-$A$12)+$A$12,$A$11)))</f>
        <v>60</v>
      </c>
      <c r="Z959" s="4">
        <f t="shared" ref="Z959:AA978" si="215">IFERROR(160*1000*1000/Y959,0)</f>
        <v>2666666.6666666665</v>
      </c>
      <c r="AA959" s="3">
        <f t="shared" si="215"/>
        <v>60</v>
      </c>
      <c r="AB959" t="str">
        <f t="shared" si="211"/>
        <v>28B0AA</v>
      </c>
    </row>
    <row r="960" spans="14:28">
      <c r="N960">
        <v>958</v>
      </c>
      <c r="O960">
        <f t="shared" si="203"/>
        <v>1580</v>
      </c>
      <c r="P960">
        <f t="shared" si="205"/>
        <v>9580</v>
      </c>
      <c r="Q960">
        <f t="shared" si="206"/>
        <v>0</v>
      </c>
      <c r="R960" s="4">
        <f t="shared" si="207"/>
        <v>0</v>
      </c>
      <c r="S960" s="3">
        <f t="shared" si="208"/>
        <v>0</v>
      </c>
      <c r="T960" t="str">
        <f t="shared" si="209"/>
        <v>0</v>
      </c>
      <c r="V960">
        <v>958</v>
      </c>
      <c r="W960">
        <f t="shared" si="213"/>
        <v>1180</v>
      </c>
      <c r="X960">
        <f t="shared" ref="X960:X1023" si="216">V960*10</f>
        <v>9580</v>
      </c>
      <c r="Y960">
        <f t="shared" si="214"/>
        <v>60</v>
      </c>
      <c r="Z960" s="4">
        <f t="shared" si="215"/>
        <v>2666666.6666666665</v>
      </c>
      <c r="AA960" s="3">
        <f t="shared" si="215"/>
        <v>60</v>
      </c>
      <c r="AB960" t="str">
        <f t="shared" si="211"/>
        <v>28B0AA</v>
      </c>
    </row>
    <row r="961" spans="14:28">
      <c r="N961">
        <v>959</v>
      </c>
      <c r="O961">
        <f t="shared" si="203"/>
        <v>1590</v>
      </c>
      <c r="P961">
        <f t="shared" si="205"/>
        <v>9590</v>
      </c>
      <c r="Q961">
        <f t="shared" si="206"/>
        <v>0</v>
      </c>
      <c r="R961" s="4">
        <f t="shared" si="207"/>
        <v>0</v>
      </c>
      <c r="S961" s="3">
        <f t="shared" si="208"/>
        <v>0</v>
      </c>
      <c r="T961" t="str">
        <f t="shared" si="209"/>
        <v>0</v>
      </c>
      <c r="V961">
        <v>959</v>
      </c>
      <c r="W961">
        <f t="shared" si="213"/>
        <v>1190</v>
      </c>
      <c r="X961">
        <f t="shared" si="216"/>
        <v>9590</v>
      </c>
      <c r="Y961">
        <f t="shared" si="214"/>
        <v>60</v>
      </c>
      <c r="Z961" s="4">
        <f t="shared" si="215"/>
        <v>2666666.6666666665</v>
      </c>
      <c r="AA961" s="3">
        <f t="shared" si="215"/>
        <v>60</v>
      </c>
      <c r="AB961" t="str">
        <f t="shared" si="211"/>
        <v>28B0AA</v>
      </c>
    </row>
    <row r="962" spans="14:28">
      <c r="N962">
        <v>960</v>
      </c>
      <c r="O962">
        <f t="shared" si="203"/>
        <v>1600</v>
      </c>
      <c r="P962">
        <f t="shared" si="205"/>
        <v>9600</v>
      </c>
      <c r="Q962">
        <f t="shared" si="206"/>
        <v>0</v>
      </c>
      <c r="R962" s="4">
        <f t="shared" si="207"/>
        <v>0</v>
      </c>
      <c r="S962" s="3">
        <f t="shared" si="208"/>
        <v>0</v>
      </c>
      <c r="T962" t="str">
        <f t="shared" si="209"/>
        <v>0</v>
      </c>
      <c r="V962">
        <v>960</v>
      </c>
      <c r="W962">
        <f t="shared" si="213"/>
        <v>1200</v>
      </c>
      <c r="X962">
        <f t="shared" si="216"/>
        <v>9600</v>
      </c>
      <c r="Y962">
        <f t="shared" si="214"/>
        <v>60</v>
      </c>
      <c r="Z962" s="4">
        <f t="shared" si="215"/>
        <v>2666666.6666666665</v>
      </c>
      <c r="AA962" s="3">
        <f t="shared" si="215"/>
        <v>60</v>
      </c>
      <c r="AB962" t="str">
        <f t="shared" si="211"/>
        <v>28B0AA</v>
      </c>
    </row>
    <row r="963" spans="14:28">
      <c r="N963">
        <v>961</v>
      </c>
      <c r="O963">
        <f t="shared" ref="O963:O1023" si="217">MOD(P963,$A$5+$A$6)</f>
        <v>1610</v>
      </c>
      <c r="P963">
        <f t="shared" si="205"/>
        <v>9610</v>
      </c>
      <c r="Q963">
        <f t="shared" si="206"/>
        <v>0</v>
      </c>
      <c r="R963" s="4">
        <f t="shared" si="207"/>
        <v>0</v>
      </c>
      <c r="S963" s="3">
        <f t="shared" si="208"/>
        <v>0</v>
      </c>
      <c r="T963" t="str">
        <f t="shared" si="209"/>
        <v>0</v>
      </c>
      <c r="V963">
        <v>961</v>
      </c>
      <c r="W963">
        <f t="shared" si="213"/>
        <v>1210</v>
      </c>
      <c r="X963">
        <f t="shared" si="216"/>
        <v>9610</v>
      </c>
      <c r="Y963">
        <f t="shared" si="214"/>
        <v>60</v>
      </c>
      <c r="Z963" s="4">
        <f t="shared" si="215"/>
        <v>2666666.6666666665</v>
      </c>
      <c r="AA963" s="3">
        <f t="shared" si="215"/>
        <v>60</v>
      </c>
      <c r="AB963" t="str">
        <f t="shared" si="211"/>
        <v>28B0AA</v>
      </c>
    </row>
    <row r="964" spans="14:28">
      <c r="N964">
        <v>962</v>
      </c>
      <c r="O964">
        <f t="shared" si="217"/>
        <v>1620</v>
      </c>
      <c r="P964">
        <f t="shared" si="205"/>
        <v>9620</v>
      </c>
      <c r="Q964">
        <f t="shared" si="206"/>
        <v>0</v>
      </c>
      <c r="R964" s="4">
        <f t="shared" si="207"/>
        <v>0</v>
      </c>
      <c r="S964" s="3">
        <f t="shared" si="208"/>
        <v>0</v>
      </c>
      <c r="T964" t="str">
        <f t="shared" si="209"/>
        <v>0</v>
      </c>
      <c r="V964">
        <v>962</v>
      </c>
      <c r="W964">
        <f t="shared" si="213"/>
        <v>1220</v>
      </c>
      <c r="X964">
        <f t="shared" si="216"/>
        <v>9620</v>
      </c>
      <c r="Y964">
        <f t="shared" si="214"/>
        <v>60</v>
      </c>
      <c r="Z964" s="4">
        <f t="shared" si="215"/>
        <v>2666666.6666666665</v>
      </c>
      <c r="AA964" s="3">
        <f t="shared" si="215"/>
        <v>60</v>
      </c>
      <c r="AB964" t="str">
        <f t="shared" si="211"/>
        <v>28B0AA</v>
      </c>
    </row>
    <row r="965" spans="14:28">
      <c r="N965">
        <v>963</v>
      </c>
      <c r="O965">
        <f t="shared" si="217"/>
        <v>1630</v>
      </c>
      <c r="P965">
        <f t="shared" si="205"/>
        <v>9630</v>
      </c>
      <c r="Q965">
        <f t="shared" si="206"/>
        <v>0</v>
      </c>
      <c r="R965" s="4">
        <f t="shared" si="207"/>
        <v>0</v>
      </c>
      <c r="S965" s="3">
        <f t="shared" si="208"/>
        <v>0</v>
      </c>
      <c r="T965" t="str">
        <f t="shared" si="209"/>
        <v>0</v>
      </c>
      <c r="V965">
        <v>963</v>
      </c>
      <c r="W965">
        <f t="shared" si="213"/>
        <v>1230</v>
      </c>
      <c r="X965">
        <f t="shared" si="216"/>
        <v>9630</v>
      </c>
      <c r="Y965">
        <f t="shared" si="214"/>
        <v>60</v>
      </c>
      <c r="Z965" s="4">
        <f t="shared" si="215"/>
        <v>2666666.6666666665</v>
      </c>
      <c r="AA965" s="3">
        <f t="shared" si="215"/>
        <v>60</v>
      </c>
      <c r="AB965" t="str">
        <f t="shared" si="211"/>
        <v>28B0AA</v>
      </c>
    </row>
    <row r="966" spans="14:28">
      <c r="N966">
        <v>964</v>
      </c>
      <c r="O966">
        <f t="shared" si="217"/>
        <v>1640</v>
      </c>
      <c r="P966">
        <f t="shared" si="205"/>
        <v>9640</v>
      </c>
      <c r="Q966">
        <f t="shared" si="206"/>
        <v>0</v>
      </c>
      <c r="R966" s="4">
        <f t="shared" si="207"/>
        <v>0</v>
      </c>
      <c r="S966" s="3">
        <f t="shared" si="208"/>
        <v>0</v>
      </c>
      <c r="T966" t="str">
        <f t="shared" si="209"/>
        <v>0</v>
      </c>
      <c r="V966">
        <v>964</v>
      </c>
      <c r="W966">
        <f t="shared" si="213"/>
        <v>1240</v>
      </c>
      <c r="X966">
        <f t="shared" si="216"/>
        <v>9640</v>
      </c>
      <c r="Y966">
        <f t="shared" si="214"/>
        <v>60</v>
      </c>
      <c r="Z966" s="4">
        <f t="shared" si="215"/>
        <v>2666666.6666666665</v>
      </c>
      <c r="AA966" s="3">
        <f t="shared" si="215"/>
        <v>60</v>
      </c>
      <c r="AB966" t="str">
        <f t="shared" si="211"/>
        <v>28B0AA</v>
      </c>
    </row>
    <row r="967" spans="14:28">
      <c r="N967">
        <v>965</v>
      </c>
      <c r="O967">
        <f t="shared" si="217"/>
        <v>1650</v>
      </c>
      <c r="P967">
        <f t="shared" si="205"/>
        <v>9650</v>
      </c>
      <c r="Q967">
        <f t="shared" si="206"/>
        <v>0</v>
      </c>
      <c r="R967" s="4">
        <f t="shared" si="207"/>
        <v>0</v>
      </c>
      <c r="S967" s="3">
        <f t="shared" si="208"/>
        <v>0</v>
      </c>
      <c r="T967" t="str">
        <f t="shared" si="209"/>
        <v>0</v>
      </c>
      <c r="V967">
        <v>965</v>
      </c>
      <c r="W967">
        <f t="shared" si="213"/>
        <v>1250</v>
      </c>
      <c r="X967">
        <f t="shared" si="216"/>
        <v>9650</v>
      </c>
      <c r="Y967">
        <f t="shared" si="214"/>
        <v>60</v>
      </c>
      <c r="Z967" s="4">
        <f t="shared" si="215"/>
        <v>2666666.6666666665</v>
      </c>
      <c r="AA967" s="3">
        <f t="shared" si="215"/>
        <v>60</v>
      </c>
      <c r="AB967" t="str">
        <f t="shared" si="211"/>
        <v>28B0AA</v>
      </c>
    </row>
    <row r="968" spans="14:28">
      <c r="N968">
        <v>966</v>
      </c>
      <c r="O968">
        <f t="shared" si="217"/>
        <v>1660</v>
      </c>
      <c r="P968">
        <f t="shared" si="205"/>
        <v>9660</v>
      </c>
      <c r="Q968">
        <f t="shared" si="206"/>
        <v>0</v>
      </c>
      <c r="R968" s="4">
        <f t="shared" si="207"/>
        <v>0</v>
      </c>
      <c r="S968" s="3">
        <f t="shared" si="208"/>
        <v>0</v>
      </c>
      <c r="T968" t="str">
        <f t="shared" si="209"/>
        <v>0</v>
      </c>
      <c r="V968">
        <v>966</v>
      </c>
      <c r="W968">
        <f t="shared" si="213"/>
        <v>1260</v>
      </c>
      <c r="X968">
        <f t="shared" si="216"/>
        <v>9660</v>
      </c>
      <c r="Y968">
        <f t="shared" si="214"/>
        <v>60</v>
      </c>
      <c r="Z968" s="4">
        <f t="shared" si="215"/>
        <v>2666666.6666666665</v>
      </c>
      <c r="AA968" s="3">
        <f t="shared" si="215"/>
        <v>60</v>
      </c>
      <c r="AB968" t="str">
        <f t="shared" si="211"/>
        <v>28B0AA</v>
      </c>
    </row>
    <row r="969" spans="14:28">
      <c r="N969">
        <v>967</v>
      </c>
      <c r="O969">
        <f t="shared" si="217"/>
        <v>1670</v>
      </c>
      <c r="P969">
        <f t="shared" si="205"/>
        <v>9670</v>
      </c>
      <c r="Q969">
        <f t="shared" si="206"/>
        <v>0</v>
      </c>
      <c r="R969" s="4">
        <f t="shared" si="207"/>
        <v>0</v>
      </c>
      <c r="S969" s="3">
        <f t="shared" si="208"/>
        <v>0</v>
      </c>
      <c r="T969" t="str">
        <f t="shared" si="209"/>
        <v>0</v>
      </c>
      <c r="V969">
        <v>967</v>
      </c>
      <c r="W969">
        <f t="shared" si="213"/>
        <v>1270</v>
      </c>
      <c r="X969">
        <f t="shared" si="216"/>
        <v>9670</v>
      </c>
      <c r="Y969">
        <f t="shared" si="214"/>
        <v>60</v>
      </c>
      <c r="Z969" s="4">
        <f t="shared" si="215"/>
        <v>2666666.6666666665</v>
      </c>
      <c r="AA969" s="3">
        <f t="shared" si="215"/>
        <v>60</v>
      </c>
      <c r="AB969" t="str">
        <f t="shared" si="211"/>
        <v>28B0AA</v>
      </c>
    </row>
    <row r="970" spans="14:28">
      <c r="N970">
        <v>968</v>
      </c>
      <c r="O970">
        <f t="shared" si="217"/>
        <v>1680</v>
      </c>
      <c r="P970">
        <f t="shared" si="205"/>
        <v>9680</v>
      </c>
      <c r="Q970">
        <f t="shared" si="206"/>
        <v>0</v>
      </c>
      <c r="R970" s="4">
        <f t="shared" si="207"/>
        <v>0</v>
      </c>
      <c r="S970" s="3">
        <f t="shared" si="208"/>
        <v>0</v>
      </c>
      <c r="T970" t="str">
        <f t="shared" si="209"/>
        <v>0</v>
      </c>
      <c r="V970">
        <v>968</v>
      </c>
      <c r="W970">
        <f t="shared" si="213"/>
        <v>1280</v>
      </c>
      <c r="X970">
        <f t="shared" si="216"/>
        <v>9680</v>
      </c>
      <c r="Y970">
        <f t="shared" si="214"/>
        <v>60</v>
      </c>
      <c r="Z970" s="4">
        <f t="shared" si="215"/>
        <v>2666666.6666666665</v>
      </c>
      <c r="AA970" s="3">
        <f t="shared" si="215"/>
        <v>60</v>
      </c>
      <c r="AB970" t="str">
        <f t="shared" si="211"/>
        <v>28B0AA</v>
      </c>
    </row>
    <row r="971" spans="14:28">
      <c r="N971">
        <v>969</v>
      </c>
      <c r="O971">
        <f t="shared" si="217"/>
        <v>1690</v>
      </c>
      <c r="P971">
        <f t="shared" ref="P971:P1023" si="218">N971*10</f>
        <v>9690</v>
      </c>
      <c r="Q971">
        <f t="shared" ref="Q971:Q1023" si="219">IF(O971&gt;$A$5,0,IF(O971&lt;$A$4,O971/($A$4)*($A$2-$A$3)+$A$3,IF($A$5-O971&lt;$A$4,($A$5-O971)/($A$4)*($A$2-$A$3)+$A$3,$A$2)))</f>
        <v>0</v>
      </c>
      <c r="R971" s="4">
        <f t="shared" ref="R971:R1023" si="220">IFERROR(160*1000*1000/Q971,0)</f>
        <v>0</v>
      </c>
      <c r="S971" s="3">
        <f t="shared" ref="S971:S1023" si="221">IFERROR(160*1000*1000/R971,0)</f>
        <v>0</v>
      </c>
      <c r="T971" t="str">
        <f t="shared" ref="T971:T1023" si="222">DEC2HEX(R971)</f>
        <v>0</v>
      </c>
      <c r="V971">
        <v>969</v>
      </c>
      <c r="W971">
        <f t="shared" si="213"/>
        <v>1290</v>
      </c>
      <c r="X971">
        <f t="shared" si="216"/>
        <v>9690</v>
      </c>
      <c r="Y971">
        <f t="shared" si="214"/>
        <v>60</v>
      </c>
      <c r="Z971" s="4">
        <f t="shared" si="215"/>
        <v>2666666.6666666665</v>
      </c>
      <c r="AA971" s="3">
        <f t="shared" si="215"/>
        <v>60</v>
      </c>
      <c r="AB971" t="str">
        <f t="shared" si="211"/>
        <v>28B0AA</v>
      </c>
    </row>
    <row r="972" spans="14:28">
      <c r="N972">
        <v>970</v>
      </c>
      <c r="O972">
        <f t="shared" si="217"/>
        <v>1700</v>
      </c>
      <c r="P972">
        <f t="shared" si="218"/>
        <v>9700</v>
      </c>
      <c r="Q972">
        <f t="shared" si="219"/>
        <v>0</v>
      </c>
      <c r="R972" s="4">
        <f t="shared" si="220"/>
        <v>0</v>
      </c>
      <c r="S972" s="3">
        <f t="shared" si="221"/>
        <v>0</v>
      </c>
      <c r="T972" t="str">
        <f t="shared" si="222"/>
        <v>0</v>
      </c>
      <c r="V972">
        <v>970</v>
      </c>
      <c r="W972">
        <f t="shared" si="213"/>
        <v>1300</v>
      </c>
      <c r="X972">
        <f t="shared" si="216"/>
        <v>9700</v>
      </c>
      <c r="Y972">
        <f t="shared" si="214"/>
        <v>60</v>
      </c>
      <c r="Z972" s="4">
        <f t="shared" si="215"/>
        <v>2666666.6666666665</v>
      </c>
      <c r="AA972" s="3">
        <f t="shared" si="215"/>
        <v>60</v>
      </c>
      <c r="AB972" t="str">
        <f t="shared" si="211"/>
        <v>28B0AA</v>
      </c>
    </row>
    <row r="973" spans="14:28">
      <c r="N973">
        <v>971</v>
      </c>
      <c r="O973">
        <f t="shared" si="217"/>
        <v>1710</v>
      </c>
      <c r="P973">
        <f t="shared" si="218"/>
        <v>9710</v>
      </c>
      <c r="Q973">
        <f t="shared" si="219"/>
        <v>0</v>
      </c>
      <c r="R973" s="4">
        <f t="shared" si="220"/>
        <v>0</v>
      </c>
      <c r="S973" s="3">
        <f t="shared" si="221"/>
        <v>0</v>
      </c>
      <c r="T973" t="str">
        <f t="shared" si="222"/>
        <v>0</v>
      </c>
      <c r="V973">
        <v>971</v>
      </c>
      <c r="W973">
        <f t="shared" si="213"/>
        <v>1310</v>
      </c>
      <c r="X973">
        <f t="shared" si="216"/>
        <v>9710</v>
      </c>
      <c r="Y973">
        <f t="shared" si="214"/>
        <v>60</v>
      </c>
      <c r="Z973" s="4">
        <f t="shared" si="215"/>
        <v>2666666.6666666665</v>
      </c>
      <c r="AA973" s="3">
        <f t="shared" si="215"/>
        <v>60</v>
      </c>
      <c r="AB973" t="str">
        <f t="shared" si="211"/>
        <v>28B0AA</v>
      </c>
    </row>
    <row r="974" spans="14:28">
      <c r="N974">
        <v>972</v>
      </c>
      <c r="O974">
        <f t="shared" si="217"/>
        <v>1720</v>
      </c>
      <c r="P974">
        <f t="shared" si="218"/>
        <v>9720</v>
      </c>
      <c r="Q974">
        <f t="shared" si="219"/>
        <v>0</v>
      </c>
      <c r="R974" s="4">
        <f t="shared" si="220"/>
        <v>0</v>
      </c>
      <c r="S974" s="3">
        <f t="shared" si="221"/>
        <v>0</v>
      </c>
      <c r="T974" t="str">
        <f t="shared" si="222"/>
        <v>0</v>
      </c>
      <c r="V974">
        <v>972</v>
      </c>
      <c r="W974">
        <f t="shared" si="213"/>
        <v>1320</v>
      </c>
      <c r="X974">
        <f t="shared" si="216"/>
        <v>9720</v>
      </c>
      <c r="Y974">
        <f t="shared" si="214"/>
        <v>60</v>
      </c>
      <c r="Z974" s="4">
        <f t="shared" si="215"/>
        <v>2666666.6666666665</v>
      </c>
      <c r="AA974" s="3">
        <f t="shared" si="215"/>
        <v>60</v>
      </c>
      <c r="AB974" t="str">
        <f t="shared" si="211"/>
        <v>28B0AA</v>
      </c>
    </row>
    <row r="975" spans="14:28">
      <c r="N975">
        <v>973</v>
      </c>
      <c r="O975">
        <f t="shared" si="217"/>
        <v>1730</v>
      </c>
      <c r="P975">
        <f t="shared" si="218"/>
        <v>9730</v>
      </c>
      <c r="Q975">
        <f t="shared" si="219"/>
        <v>0</v>
      </c>
      <c r="R975" s="4">
        <f t="shared" si="220"/>
        <v>0</v>
      </c>
      <c r="S975" s="3">
        <f t="shared" si="221"/>
        <v>0</v>
      </c>
      <c r="T975" t="str">
        <f t="shared" si="222"/>
        <v>0</v>
      </c>
      <c r="V975">
        <v>973</v>
      </c>
      <c r="W975">
        <f t="shared" si="213"/>
        <v>1330</v>
      </c>
      <c r="X975">
        <f t="shared" si="216"/>
        <v>9730</v>
      </c>
      <c r="Y975">
        <f t="shared" si="214"/>
        <v>60</v>
      </c>
      <c r="Z975" s="4">
        <f t="shared" si="215"/>
        <v>2666666.6666666665</v>
      </c>
      <c r="AA975" s="3">
        <f t="shared" si="215"/>
        <v>60</v>
      </c>
      <c r="AB975" t="str">
        <f t="shared" si="211"/>
        <v>28B0AA</v>
      </c>
    </row>
    <row r="976" spans="14:28">
      <c r="N976">
        <v>974</v>
      </c>
      <c r="O976">
        <f t="shared" si="217"/>
        <v>1740</v>
      </c>
      <c r="P976">
        <f t="shared" si="218"/>
        <v>9740</v>
      </c>
      <c r="Q976">
        <f t="shared" si="219"/>
        <v>0</v>
      </c>
      <c r="R976" s="4">
        <f t="shared" si="220"/>
        <v>0</v>
      </c>
      <c r="S976" s="3">
        <f t="shared" si="221"/>
        <v>0</v>
      </c>
      <c r="T976" t="str">
        <f t="shared" si="222"/>
        <v>0</v>
      </c>
      <c r="V976">
        <v>974</v>
      </c>
      <c r="W976">
        <f t="shared" si="213"/>
        <v>1340</v>
      </c>
      <c r="X976">
        <f t="shared" si="216"/>
        <v>9740</v>
      </c>
      <c r="Y976">
        <f t="shared" si="214"/>
        <v>60</v>
      </c>
      <c r="Z976" s="4">
        <f t="shared" si="215"/>
        <v>2666666.6666666665</v>
      </c>
      <c r="AA976" s="3">
        <f t="shared" si="215"/>
        <v>60</v>
      </c>
      <c r="AB976" t="str">
        <f t="shared" si="211"/>
        <v>28B0AA</v>
      </c>
    </row>
    <row r="977" spans="14:28">
      <c r="N977">
        <v>975</v>
      </c>
      <c r="O977">
        <f t="shared" si="217"/>
        <v>1750</v>
      </c>
      <c r="P977">
        <f t="shared" si="218"/>
        <v>9750</v>
      </c>
      <c r="Q977">
        <f t="shared" si="219"/>
        <v>0</v>
      </c>
      <c r="R977" s="4">
        <f t="shared" si="220"/>
        <v>0</v>
      </c>
      <c r="S977" s="3">
        <f t="shared" si="221"/>
        <v>0</v>
      </c>
      <c r="T977" t="str">
        <f t="shared" si="222"/>
        <v>0</v>
      </c>
      <c r="V977">
        <v>975</v>
      </c>
      <c r="W977">
        <f t="shared" si="213"/>
        <v>1350</v>
      </c>
      <c r="X977">
        <f t="shared" si="216"/>
        <v>9750</v>
      </c>
      <c r="Y977">
        <f t="shared" si="214"/>
        <v>60</v>
      </c>
      <c r="Z977" s="4">
        <f t="shared" si="215"/>
        <v>2666666.6666666665</v>
      </c>
      <c r="AA977" s="3">
        <f t="shared" si="215"/>
        <v>60</v>
      </c>
      <c r="AB977" t="str">
        <f t="shared" si="211"/>
        <v>28B0AA</v>
      </c>
    </row>
    <row r="978" spans="14:28">
      <c r="N978">
        <v>976</v>
      </c>
      <c r="O978">
        <f t="shared" si="217"/>
        <v>1760</v>
      </c>
      <c r="P978">
        <f t="shared" si="218"/>
        <v>9760</v>
      </c>
      <c r="Q978">
        <f t="shared" si="219"/>
        <v>0</v>
      </c>
      <c r="R978" s="4">
        <f t="shared" si="220"/>
        <v>0</v>
      </c>
      <c r="S978" s="3">
        <f t="shared" si="221"/>
        <v>0</v>
      </c>
      <c r="T978" t="str">
        <f t="shared" si="222"/>
        <v>0</v>
      </c>
      <c r="V978">
        <v>976</v>
      </c>
      <c r="W978">
        <f t="shared" si="213"/>
        <v>1360</v>
      </c>
      <c r="X978">
        <f t="shared" si="216"/>
        <v>9760</v>
      </c>
      <c r="Y978">
        <f t="shared" si="214"/>
        <v>60</v>
      </c>
      <c r="Z978" s="4">
        <f t="shared" si="215"/>
        <v>2666666.6666666665</v>
      </c>
      <c r="AA978" s="3">
        <f t="shared" si="215"/>
        <v>60</v>
      </c>
      <c r="AB978" t="str">
        <f t="shared" si="211"/>
        <v>28B0AA</v>
      </c>
    </row>
    <row r="979" spans="14:28">
      <c r="N979">
        <v>977</v>
      </c>
      <c r="O979">
        <f t="shared" si="217"/>
        <v>1770</v>
      </c>
      <c r="P979">
        <f t="shared" si="218"/>
        <v>9770</v>
      </c>
      <c r="Q979">
        <f t="shared" si="219"/>
        <v>0</v>
      </c>
      <c r="R979" s="4">
        <f t="shared" si="220"/>
        <v>0</v>
      </c>
      <c r="S979" s="3">
        <f t="shared" si="221"/>
        <v>0</v>
      </c>
      <c r="T979" t="str">
        <f t="shared" si="222"/>
        <v>0</v>
      </c>
      <c r="V979">
        <v>977</v>
      </c>
      <c r="W979">
        <f t="shared" si="213"/>
        <v>1370</v>
      </c>
      <c r="X979">
        <f t="shared" si="216"/>
        <v>9770</v>
      </c>
      <c r="Y979">
        <f t="shared" si="214"/>
        <v>60</v>
      </c>
      <c r="Z979" s="4">
        <f t="shared" ref="Z979:AA998" si="223">IFERROR(160*1000*1000/Y979,0)</f>
        <v>2666666.6666666665</v>
      </c>
      <c r="AA979" s="3">
        <f t="shared" si="223"/>
        <v>60</v>
      </c>
      <c r="AB979" t="str">
        <f t="shared" si="211"/>
        <v>28B0AA</v>
      </c>
    </row>
    <row r="980" spans="14:28">
      <c r="N980">
        <v>978</v>
      </c>
      <c r="O980">
        <f t="shared" si="217"/>
        <v>1780</v>
      </c>
      <c r="P980">
        <f t="shared" si="218"/>
        <v>9780</v>
      </c>
      <c r="Q980">
        <f t="shared" si="219"/>
        <v>0</v>
      </c>
      <c r="R980" s="4">
        <f t="shared" si="220"/>
        <v>0</v>
      </c>
      <c r="S980" s="3">
        <f t="shared" si="221"/>
        <v>0</v>
      </c>
      <c r="T980" t="str">
        <f t="shared" si="222"/>
        <v>0</v>
      </c>
      <c r="V980">
        <v>978</v>
      </c>
      <c r="W980">
        <f t="shared" si="213"/>
        <v>1380</v>
      </c>
      <c r="X980">
        <f t="shared" si="216"/>
        <v>9780</v>
      </c>
      <c r="Y980">
        <f t="shared" si="214"/>
        <v>60</v>
      </c>
      <c r="Z980" s="4">
        <f t="shared" si="223"/>
        <v>2666666.6666666665</v>
      </c>
      <c r="AA980" s="3">
        <f t="shared" si="223"/>
        <v>60</v>
      </c>
      <c r="AB980" t="str">
        <f t="shared" si="211"/>
        <v>28B0AA</v>
      </c>
    </row>
    <row r="981" spans="14:28">
      <c r="N981">
        <v>979</v>
      </c>
      <c r="O981">
        <f t="shared" si="217"/>
        <v>1790</v>
      </c>
      <c r="P981">
        <f t="shared" si="218"/>
        <v>9790</v>
      </c>
      <c r="Q981">
        <f t="shared" si="219"/>
        <v>0</v>
      </c>
      <c r="R981" s="4">
        <f t="shared" si="220"/>
        <v>0</v>
      </c>
      <c r="S981" s="3">
        <f t="shared" si="221"/>
        <v>0</v>
      </c>
      <c r="T981" t="str">
        <f t="shared" si="222"/>
        <v>0</v>
      </c>
      <c r="V981">
        <v>979</v>
      </c>
      <c r="W981">
        <f t="shared" si="213"/>
        <v>1390</v>
      </c>
      <c r="X981">
        <f t="shared" si="216"/>
        <v>9790</v>
      </c>
      <c r="Y981">
        <f t="shared" si="214"/>
        <v>60</v>
      </c>
      <c r="Z981" s="4">
        <f t="shared" si="223"/>
        <v>2666666.6666666665</v>
      </c>
      <c r="AA981" s="3">
        <f t="shared" si="223"/>
        <v>60</v>
      </c>
      <c r="AB981" t="str">
        <f t="shared" si="211"/>
        <v>28B0AA</v>
      </c>
    </row>
    <row r="982" spans="14:28">
      <c r="N982">
        <v>980</v>
      </c>
      <c r="O982">
        <f t="shared" si="217"/>
        <v>1800</v>
      </c>
      <c r="P982">
        <f t="shared" si="218"/>
        <v>9800</v>
      </c>
      <c r="Q982">
        <f t="shared" si="219"/>
        <v>0</v>
      </c>
      <c r="R982" s="4">
        <f t="shared" si="220"/>
        <v>0</v>
      </c>
      <c r="S982" s="3">
        <f t="shared" si="221"/>
        <v>0</v>
      </c>
      <c r="T982" t="str">
        <f t="shared" si="222"/>
        <v>0</v>
      </c>
      <c r="V982">
        <v>980</v>
      </c>
      <c r="W982">
        <f t="shared" si="213"/>
        <v>1400</v>
      </c>
      <c r="X982">
        <f t="shared" si="216"/>
        <v>9800</v>
      </c>
      <c r="Y982">
        <f t="shared" si="214"/>
        <v>60</v>
      </c>
      <c r="Z982" s="4">
        <f t="shared" si="223"/>
        <v>2666666.6666666665</v>
      </c>
      <c r="AA982" s="3">
        <f t="shared" si="223"/>
        <v>60</v>
      </c>
      <c r="AB982" t="str">
        <f t="shared" si="211"/>
        <v>28B0AA</v>
      </c>
    </row>
    <row r="983" spans="14:28">
      <c r="N983">
        <v>981</v>
      </c>
      <c r="O983">
        <f t="shared" si="217"/>
        <v>1810</v>
      </c>
      <c r="P983">
        <f t="shared" si="218"/>
        <v>9810</v>
      </c>
      <c r="Q983">
        <f t="shared" si="219"/>
        <v>0</v>
      </c>
      <c r="R983" s="4">
        <f t="shared" si="220"/>
        <v>0</v>
      </c>
      <c r="S983" s="3">
        <f t="shared" si="221"/>
        <v>0</v>
      </c>
      <c r="T983" t="str">
        <f t="shared" si="222"/>
        <v>0</v>
      </c>
      <c r="V983">
        <v>981</v>
      </c>
      <c r="W983">
        <f t="shared" si="213"/>
        <v>1410</v>
      </c>
      <c r="X983">
        <f t="shared" si="216"/>
        <v>9810</v>
      </c>
      <c r="Y983">
        <f t="shared" si="214"/>
        <v>60</v>
      </c>
      <c r="Z983" s="4">
        <f t="shared" si="223"/>
        <v>2666666.6666666665</v>
      </c>
      <c r="AA983" s="3">
        <f t="shared" si="223"/>
        <v>60</v>
      </c>
      <c r="AB983" t="str">
        <f t="shared" si="211"/>
        <v>28B0AA</v>
      </c>
    </row>
    <row r="984" spans="14:28">
      <c r="N984">
        <v>982</v>
      </c>
      <c r="O984">
        <f t="shared" si="217"/>
        <v>1820</v>
      </c>
      <c r="P984">
        <f t="shared" si="218"/>
        <v>9820</v>
      </c>
      <c r="Q984">
        <f t="shared" si="219"/>
        <v>0</v>
      </c>
      <c r="R984" s="4">
        <f t="shared" si="220"/>
        <v>0</v>
      </c>
      <c r="S984" s="3">
        <f t="shared" si="221"/>
        <v>0</v>
      </c>
      <c r="T984" t="str">
        <f t="shared" si="222"/>
        <v>0</v>
      </c>
      <c r="V984">
        <v>982</v>
      </c>
      <c r="W984">
        <f t="shared" si="213"/>
        <v>1420</v>
      </c>
      <c r="X984">
        <f t="shared" si="216"/>
        <v>9820</v>
      </c>
      <c r="Y984">
        <f t="shared" si="214"/>
        <v>60</v>
      </c>
      <c r="Z984" s="4">
        <f t="shared" si="223"/>
        <v>2666666.6666666665</v>
      </c>
      <c r="AA984" s="3">
        <f t="shared" si="223"/>
        <v>60</v>
      </c>
      <c r="AB984" t="str">
        <f t="shared" si="211"/>
        <v>28B0AA</v>
      </c>
    </row>
    <row r="985" spans="14:28">
      <c r="N985">
        <v>983</v>
      </c>
      <c r="O985">
        <f t="shared" si="217"/>
        <v>1830</v>
      </c>
      <c r="P985">
        <f t="shared" si="218"/>
        <v>9830</v>
      </c>
      <c r="Q985">
        <f t="shared" si="219"/>
        <v>0</v>
      </c>
      <c r="R985" s="4">
        <f t="shared" si="220"/>
        <v>0</v>
      </c>
      <c r="S985" s="3">
        <f t="shared" si="221"/>
        <v>0</v>
      </c>
      <c r="T985" t="str">
        <f t="shared" si="222"/>
        <v>0</v>
      </c>
      <c r="V985">
        <v>983</v>
      </c>
      <c r="W985">
        <f t="shared" si="213"/>
        <v>1430</v>
      </c>
      <c r="X985">
        <f t="shared" si="216"/>
        <v>9830</v>
      </c>
      <c r="Y985">
        <f t="shared" si="214"/>
        <v>60</v>
      </c>
      <c r="Z985" s="4">
        <f t="shared" si="223"/>
        <v>2666666.6666666665</v>
      </c>
      <c r="AA985" s="3">
        <f t="shared" si="223"/>
        <v>60</v>
      </c>
      <c r="AB985" t="str">
        <f t="shared" si="211"/>
        <v>28B0AA</v>
      </c>
    </row>
    <row r="986" spans="14:28">
      <c r="N986">
        <v>984</v>
      </c>
      <c r="O986">
        <f t="shared" si="217"/>
        <v>1840</v>
      </c>
      <c r="P986">
        <f t="shared" si="218"/>
        <v>9840</v>
      </c>
      <c r="Q986">
        <f t="shared" si="219"/>
        <v>0</v>
      </c>
      <c r="R986" s="4">
        <f t="shared" si="220"/>
        <v>0</v>
      </c>
      <c r="S986" s="3">
        <f t="shared" si="221"/>
        <v>0</v>
      </c>
      <c r="T986" t="str">
        <f t="shared" si="222"/>
        <v>0</v>
      </c>
      <c r="V986">
        <v>984</v>
      </c>
      <c r="W986">
        <f t="shared" si="213"/>
        <v>1440</v>
      </c>
      <c r="X986">
        <f t="shared" si="216"/>
        <v>9840</v>
      </c>
      <c r="Y986">
        <f t="shared" si="214"/>
        <v>60</v>
      </c>
      <c r="Z986" s="4">
        <f t="shared" si="223"/>
        <v>2666666.6666666665</v>
      </c>
      <c r="AA986" s="3">
        <f t="shared" si="223"/>
        <v>60</v>
      </c>
      <c r="AB986" t="str">
        <f t="shared" si="211"/>
        <v>28B0AA</v>
      </c>
    </row>
    <row r="987" spans="14:28">
      <c r="N987">
        <v>985</v>
      </c>
      <c r="O987">
        <f t="shared" si="217"/>
        <v>1850</v>
      </c>
      <c r="P987">
        <f t="shared" si="218"/>
        <v>9850</v>
      </c>
      <c r="Q987">
        <f t="shared" si="219"/>
        <v>0</v>
      </c>
      <c r="R987" s="4">
        <f t="shared" si="220"/>
        <v>0</v>
      </c>
      <c r="S987" s="3">
        <f t="shared" si="221"/>
        <v>0</v>
      </c>
      <c r="T987" t="str">
        <f t="shared" si="222"/>
        <v>0</v>
      </c>
      <c r="V987">
        <v>985</v>
      </c>
      <c r="W987">
        <f t="shared" si="213"/>
        <v>1450</v>
      </c>
      <c r="X987">
        <f t="shared" si="216"/>
        <v>9850</v>
      </c>
      <c r="Y987">
        <f t="shared" si="214"/>
        <v>60</v>
      </c>
      <c r="Z987" s="4">
        <f t="shared" si="223"/>
        <v>2666666.6666666665</v>
      </c>
      <c r="AA987" s="3">
        <f t="shared" si="223"/>
        <v>60</v>
      </c>
      <c r="AB987" t="str">
        <f t="shared" si="211"/>
        <v>28B0AA</v>
      </c>
    </row>
    <row r="988" spans="14:28">
      <c r="N988">
        <v>986</v>
      </c>
      <c r="O988">
        <f t="shared" si="217"/>
        <v>1860</v>
      </c>
      <c r="P988">
        <f t="shared" si="218"/>
        <v>9860</v>
      </c>
      <c r="Q988">
        <f t="shared" si="219"/>
        <v>0</v>
      </c>
      <c r="R988" s="4">
        <f t="shared" si="220"/>
        <v>0</v>
      </c>
      <c r="S988" s="3">
        <f t="shared" si="221"/>
        <v>0</v>
      </c>
      <c r="T988" t="str">
        <f t="shared" si="222"/>
        <v>0</v>
      </c>
      <c r="V988">
        <v>986</v>
      </c>
      <c r="W988">
        <f t="shared" si="213"/>
        <v>1460</v>
      </c>
      <c r="X988">
        <f t="shared" si="216"/>
        <v>9860</v>
      </c>
      <c r="Y988">
        <f t="shared" si="214"/>
        <v>60</v>
      </c>
      <c r="Z988" s="4">
        <f t="shared" si="223"/>
        <v>2666666.6666666665</v>
      </c>
      <c r="AA988" s="3">
        <f t="shared" si="223"/>
        <v>60</v>
      </c>
      <c r="AB988" t="str">
        <f t="shared" si="211"/>
        <v>28B0AA</v>
      </c>
    </row>
    <row r="989" spans="14:28">
      <c r="N989">
        <v>987</v>
      </c>
      <c r="O989">
        <f t="shared" si="217"/>
        <v>1870</v>
      </c>
      <c r="P989">
        <f t="shared" si="218"/>
        <v>9870</v>
      </c>
      <c r="Q989">
        <f t="shared" si="219"/>
        <v>0</v>
      </c>
      <c r="R989" s="4">
        <f t="shared" si="220"/>
        <v>0</v>
      </c>
      <c r="S989" s="3">
        <f t="shared" si="221"/>
        <v>0</v>
      </c>
      <c r="T989" t="str">
        <f t="shared" si="222"/>
        <v>0</v>
      </c>
      <c r="V989">
        <v>987</v>
      </c>
      <c r="W989">
        <f t="shared" si="213"/>
        <v>1470</v>
      </c>
      <c r="X989">
        <f t="shared" si="216"/>
        <v>9870</v>
      </c>
      <c r="Y989">
        <f t="shared" si="214"/>
        <v>60</v>
      </c>
      <c r="Z989" s="4">
        <f t="shared" si="223"/>
        <v>2666666.6666666665</v>
      </c>
      <c r="AA989" s="3">
        <f t="shared" si="223"/>
        <v>60</v>
      </c>
      <c r="AB989" t="str">
        <f t="shared" si="211"/>
        <v>28B0AA</v>
      </c>
    </row>
    <row r="990" spans="14:28">
      <c r="N990">
        <v>988</v>
      </c>
      <c r="O990">
        <f t="shared" si="217"/>
        <v>1880</v>
      </c>
      <c r="P990">
        <f t="shared" si="218"/>
        <v>9880</v>
      </c>
      <c r="Q990">
        <f t="shared" si="219"/>
        <v>0</v>
      </c>
      <c r="R990" s="4">
        <f t="shared" si="220"/>
        <v>0</v>
      </c>
      <c r="S990" s="3">
        <f t="shared" si="221"/>
        <v>0</v>
      </c>
      <c r="T990" t="str">
        <f t="shared" si="222"/>
        <v>0</v>
      </c>
      <c r="V990">
        <v>988</v>
      </c>
      <c r="W990">
        <f t="shared" si="213"/>
        <v>1480</v>
      </c>
      <c r="X990">
        <f t="shared" si="216"/>
        <v>9880</v>
      </c>
      <c r="Y990">
        <f t="shared" si="214"/>
        <v>60</v>
      </c>
      <c r="Z990" s="4">
        <f t="shared" si="223"/>
        <v>2666666.6666666665</v>
      </c>
      <c r="AA990" s="3">
        <f t="shared" si="223"/>
        <v>60</v>
      </c>
      <c r="AB990" t="str">
        <f t="shared" si="211"/>
        <v>28B0AA</v>
      </c>
    </row>
    <row r="991" spans="14:28">
      <c r="N991">
        <v>989</v>
      </c>
      <c r="O991">
        <f t="shared" si="217"/>
        <v>1890</v>
      </c>
      <c r="P991">
        <f t="shared" si="218"/>
        <v>9890</v>
      </c>
      <c r="Q991">
        <f t="shared" si="219"/>
        <v>0</v>
      </c>
      <c r="R991" s="4">
        <f t="shared" si="220"/>
        <v>0</v>
      </c>
      <c r="S991" s="3">
        <f t="shared" si="221"/>
        <v>0</v>
      </c>
      <c r="T991" t="str">
        <f t="shared" si="222"/>
        <v>0</v>
      </c>
      <c r="V991">
        <v>989</v>
      </c>
      <c r="W991">
        <f t="shared" si="213"/>
        <v>1490</v>
      </c>
      <c r="X991">
        <f t="shared" si="216"/>
        <v>9890</v>
      </c>
      <c r="Y991">
        <f t="shared" si="214"/>
        <v>60</v>
      </c>
      <c r="Z991" s="4">
        <f t="shared" si="223"/>
        <v>2666666.6666666665</v>
      </c>
      <c r="AA991" s="3">
        <f t="shared" si="223"/>
        <v>60</v>
      </c>
      <c r="AB991" t="str">
        <f t="shared" si="211"/>
        <v>28B0AA</v>
      </c>
    </row>
    <row r="992" spans="14:28">
      <c r="N992">
        <v>990</v>
      </c>
      <c r="O992">
        <f t="shared" si="217"/>
        <v>1900</v>
      </c>
      <c r="P992">
        <f t="shared" si="218"/>
        <v>9900</v>
      </c>
      <c r="Q992">
        <f t="shared" si="219"/>
        <v>0</v>
      </c>
      <c r="R992" s="4">
        <f t="shared" si="220"/>
        <v>0</v>
      </c>
      <c r="S992" s="3">
        <f t="shared" si="221"/>
        <v>0</v>
      </c>
      <c r="T992" t="str">
        <f t="shared" si="222"/>
        <v>0</v>
      </c>
      <c r="V992">
        <v>990</v>
      </c>
      <c r="W992">
        <f t="shared" si="213"/>
        <v>1500</v>
      </c>
      <c r="X992">
        <f t="shared" si="216"/>
        <v>9900</v>
      </c>
      <c r="Y992">
        <f t="shared" si="214"/>
        <v>60</v>
      </c>
      <c r="Z992" s="4">
        <f t="shared" si="223"/>
        <v>2666666.6666666665</v>
      </c>
      <c r="AA992" s="3">
        <f t="shared" si="223"/>
        <v>60</v>
      </c>
      <c r="AB992" t="str">
        <f t="shared" si="211"/>
        <v>28B0AA</v>
      </c>
    </row>
    <row r="993" spans="14:28">
      <c r="N993">
        <v>991</v>
      </c>
      <c r="O993">
        <f t="shared" si="217"/>
        <v>1910</v>
      </c>
      <c r="P993">
        <f t="shared" si="218"/>
        <v>9910</v>
      </c>
      <c r="Q993">
        <f t="shared" si="219"/>
        <v>0</v>
      </c>
      <c r="R993" s="4">
        <f t="shared" si="220"/>
        <v>0</v>
      </c>
      <c r="S993" s="3">
        <f t="shared" si="221"/>
        <v>0</v>
      </c>
      <c r="T993" t="str">
        <f t="shared" si="222"/>
        <v>0</v>
      </c>
      <c r="V993">
        <v>991</v>
      </c>
      <c r="W993">
        <f t="shared" si="213"/>
        <v>1510</v>
      </c>
      <c r="X993">
        <f t="shared" si="216"/>
        <v>9910</v>
      </c>
      <c r="Y993">
        <f t="shared" si="214"/>
        <v>60</v>
      </c>
      <c r="Z993" s="4">
        <f t="shared" si="223"/>
        <v>2666666.6666666665</v>
      </c>
      <c r="AA993" s="3">
        <f t="shared" si="223"/>
        <v>60</v>
      </c>
      <c r="AB993" t="str">
        <f t="shared" si="211"/>
        <v>28B0AA</v>
      </c>
    </row>
    <row r="994" spans="14:28">
      <c r="N994">
        <v>992</v>
      </c>
      <c r="O994">
        <f t="shared" si="217"/>
        <v>1920</v>
      </c>
      <c r="P994">
        <f t="shared" si="218"/>
        <v>9920</v>
      </c>
      <c r="Q994">
        <f t="shared" si="219"/>
        <v>0</v>
      </c>
      <c r="R994" s="4">
        <f t="shared" si="220"/>
        <v>0</v>
      </c>
      <c r="S994" s="3">
        <f t="shared" si="221"/>
        <v>0</v>
      </c>
      <c r="T994" t="str">
        <f t="shared" si="222"/>
        <v>0</v>
      </c>
      <c r="V994">
        <v>992</v>
      </c>
      <c r="W994">
        <f t="shared" si="213"/>
        <v>1520</v>
      </c>
      <c r="X994">
        <f t="shared" si="216"/>
        <v>9920</v>
      </c>
      <c r="Y994">
        <f t="shared" si="214"/>
        <v>60</v>
      </c>
      <c r="Z994" s="4">
        <f t="shared" si="223"/>
        <v>2666666.6666666665</v>
      </c>
      <c r="AA994" s="3">
        <f t="shared" si="223"/>
        <v>60</v>
      </c>
      <c r="AB994" t="str">
        <f t="shared" ref="AB994:AB1023" si="224">DEC2HEX(Z994)</f>
        <v>28B0AA</v>
      </c>
    </row>
    <row r="995" spans="14:28">
      <c r="N995">
        <v>993</v>
      </c>
      <c r="O995">
        <f t="shared" si="217"/>
        <v>1930</v>
      </c>
      <c r="P995">
        <f t="shared" si="218"/>
        <v>9930</v>
      </c>
      <c r="Q995">
        <f t="shared" si="219"/>
        <v>0</v>
      </c>
      <c r="R995" s="4">
        <f t="shared" si="220"/>
        <v>0</v>
      </c>
      <c r="S995" s="3">
        <f t="shared" si="221"/>
        <v>0</v>
      </c>
      <c r="T995" t="str">
        <f t="shared" si="222"/>
        <v>0</v>
      </c>
      <c r="V995">
        <v>993</v>
      </c>
      <c r="W995">
        <f t="shared" si="213"/>
        <v>1530</v>
      </c>
      <c r="X995">
        <f t="shared" si="216"/>
        <v>9930</v>
      </c>
      <c r="Y995">
        <f t="shared" si="214"/>
        <v>60</v>
      </c>
      <c r="Z995" s="4">
        <f t="shared" si="223"/>
        <v>2666666.6666666665</v>
      </c>
      <c r="AA995" s="3">
        <f t="shared" si="223"/>
        <v>60</v>
      </c>
      <c r="AB995" t="str">
        <f t="shared" si="224"/>
        <v>28B0AA</v>
      </c>
    </row>
    <row r="996" spans="14:28">
      <c r="N996">
        <v>994</v>
      </c>
      <c r="O996">
        <f t="shared" si="217"/>
        <v>1940</v>
      </c>
      <c r="P996">
        <f t="shared" si="218"/>
        <v>9940</v>
      </c>
      <c r="Q996">
        <f t="shared" si="219"/>
        <v>0</v>
      </c>
      <c r="R996" s="4">
        <f t="shared" si="220"/>
        <v>0</v>
      </c>
      <c r="S996" s="3">
        <f t="shared" si="221"/>
        <v>0</v>
      </c>
      <c r="T996" t="str">
        <f t="shared" si="222"/>
        <v>0</v>
      </c>
      <c r="V996">
        <v>994</v>
      </c>
      <c r="W996">
        <f t="shared" si="213"/>
        <v>1540</v>
      </c>
      <c r="X996">
        <f t="shared" si="216"/>
        <v>9940</v>
      </c>
      <c r="Y996">
        <f t="shared" si="214"/>
        <v>60</v>
      </c>
      <c r="Z996" s="4">
        <f t="shared" si="223"/>
        <v>2666666.6666666665</v>
      </c>
      <c r="AA996" s="3">
        <f t="shared" si="223"/>
        <v>60</v>
      </c>
      <c r="AB996" t="str">
        <f t="shared" si="224"/>
        <v>28B0AA</v>
      </c>
    </row>
    <row r="997" spans="14:28">
      <c r="N997">
        <v>995</v>
      </c>
      <c r="O997">
        <f t="shared" si="217"/>
        <v>1950</v>
      </c>
      <c r="P997">
        <f t="shared" si="218"/>
        <v>9950</v>
      </c>
      <c r="Q997">
        <f t="shared" si="219"/>
        <v>0</v>
      </c>
      <c r="R997" s="4">
        <f t="shared" si="220"/>
        <v>0</v>
      </c>
      <c r="S997" s="3">
        <f t="shared" si="221"/>
        <v>0</v>
      </c>
      <c r="T997" t="str">
        <f t="shared" si="222"/>
        <v>0</v>
      </c>
      <c r="V997">
        <v>995</v>
      </c>
      <c r="W997">
        <f t="shared" si="213"/>
        <v>1550</v>
      </c>
      <c r="X997">
        <f t="shared" si="216"/>
        <v>9950</v>
      </c>
      <c r="Y997">
        <f t="shared" si="214"/>
        <v>60</v>
      </c>
      <c r="Z997" s="4">
        <f t="shared" si="223"/>
        <v>2666666.6666666665</v>
      </c>
      <c r="AA997" s="3">
        <f t="shared" si="223"/>
        <v>60</v>
      </c>
      <c r="AB997" t="str">
        <f t="shared" si="224"/>
        <v>28B0AA</v>
      </c>
    </row>
    <row r="998" spans="14:28">
      <c r="N998">
        <v>996</v>
      </c>
      <c r="O998">
        <f t="shared" si="217"/>
        <v>1960</v>
      </c>
      <c r="P998">
        <f t="shared" si="218"/>
        <v>9960</v>
      </c>
      <c r="Q998">
        <f t="shared" si="219"/>
        <v>0</v>
      </c>
      <c r="R998" s="4">
        <f t="shared" si="220"/>
        <v>0</v>
      </c>
      <c r="S998" s="3">
        <f t="shared" si="221"/>
        <v>0</v>
      </c>
      <c r="T998" t="str">
        <f t="shared" si="222"/>
        <v>0</v>
      </c>
      <c r="V998">
        <v>996</v>
      </c>
      <c r="W998">
        <f t="shared" si="213"/>
        <v>1560</v>
      </c>
      <c r="X998">
        <f t="shared" si="216"/>
        <v>9960</v>
      </c>
      <c r="Y998">
        <f t="shared" si="214"/>
        <v>60</v>
      </c>
      <c r="Z998" s="4">
        <f t="shared" si="223"/>
        <v>2666666.6666666665</v>
      </c>
      <c r="AA998" s="3">
        <f t="shared" si="223"/>
        <v>60</v>
      </c>
      <c r="AB998" t="str">
        <f t="shared" si="224"/>
        <v>28B0AA</v>
      </c>
    </row>
    <row r="999" spans="14:28">
      <c r="N999">
        <v>997</v>
      </c>
      <c r="O999">
        <f t="shared" si="217"/>
        <v>1970</v>
      </c>
      <c r="P999">
        <f t="shared" si="218"/>
        <v>9970</v>
      </c>
      <c r="Q999">
        <f t="shared" si="219"/>
        <v>0</v>
      </c>
      <c r="R999" s="4">
        <f t="shared" si="220"/>
        <v>0</v>
      </c>
      <c r="S999" s="3">
        <f t="shared" si="221"/>
        <v>0</v>
      </c>
      <c r="T999" t="str">
        <f t="shared" si="222"/>
        <v>0</v>
      </c>
      <c r="V999">
        <v>997</v>
      </c>
      <c r="W999">
        <f t="shared" si="213"/>
        <v>1570</v>
      </c>
      <c r="X999">
        <f t="shared" si="216"/>
        <v>9970</v>
      </c>
      <c r="Y999">
        <f t="shared" si="214"/>
        <v>60</v>
      </c>
      <c r="Z999" s="4">
        <f t="shared" ref="Z999:AA1018" si="225">IFERROR(160*1000*1000/Y999,0)</f>
        <v>2666666.6666666665</v>
      </c>
      <c r="AA999" s="3">
        <f t="shared" si="225"/>
        <v>60</v>
      </c>
      <c r="AB999" t="str">
        <f t="shared" si="224"/>
        <v>28B0AA</v>
      </c>
    </row>
    <row r="1000" spans="14:28">
      <c r="N1000">
        <v>998</v>
      </c>
      <c r="O1000">
        <f t="shared" si="217"/>
        <v>1980</v>
      </c>
      <c r="P1000">
        <f t="shared" si="218"/>
        <v>9980</v>
      </c>
      <c r="Q1000">
        <f t="shared" si="219"/>
        <v>0</v>
      </c>
      <c r="R1000" s="4">
        <f t="shared" si="220"/>
        <v>0</v>
      </c>
      <c r="S1000" s="3">
        <f t="shared" si="221"/>
        <v>0</v>
      </c>
      <c r="T1000" t="str">
        <f t="shared" si="222"/>
        <v>0</v>
      </c>
      <c r="V1000">
        <v>998</v>
      </c>
      <c r="W1000">
        <f t="shared" si="213"/>
        <v>1580</v>
      </c>
      <c r="X1000">
        <f t="shared" si="216"/>
        <v>9980</v>
      </c>
      <c r="Y1000">
        <f t="shared" si="214"/>
        <v>60</v>
      </c>
      <c r="Z1000" s="4">
        <f t="shared" si="225"/>
        <v>2666666.6666666665</v>
      </c>
      <c r="AA1000" s="3">
        <f t="shared" si="225"/>
        <v>60</v>
      </c>
      <c r="AB1000" t="str">
        <f t="shared" si="224"/>
        <v>28B0AA</v>
      </c>
    </row>
    <row r="1001" spans="14:28">
      <c r="N1001">
        <v>999</v>
      </c>
      <c r="O1001">
        <f t="shared" si="217"/>
        <v>1990</v>
      </c>
      <c r="P1001">
        <f t="shared" si="218"/>
        <v>9990</v>
      </c>
      <c r="Q1001">
        <f t="shared" si="219"/>
        <v>0</v>
      </c>
      <c r="R1001" s="4">
        <f t="shared" si="220"/>
        <v>0</v>
      </c>
      <c r="S1001" s="3">
        <f t="shared" si="221"/>
        <v>0</v>
      </c>
      <c r="T1001" t="str">
        <f t="shared" si="222"/>
        <v>0</v>
      </c>
      <c r="V1001">
        <v>999</v>
      </c>
      <c r="W1001">
        <f t="shared" si="213"/>
        <v>1590</v>
      </c>
      <c r="X1001">
        <f t="shared" si="216"/>
        <v>9990</v>
      </c>
      <c r="Y1001">
        <f t="shared" si="214"/>
        <v>60</v>
      </c>
      <c r="Z1001" s="4">
        <f t="shared" si="225"/>
        <v>2666666.6666666665</v>
      </c>
      <c r="AA1001" s="3">
        <f t="shared" si="225"/>
        <v>60</v>
      </c>
      <c r="AB1001" t="str">
        <f t="shared" si="224"/>
        <v>28B0AA</v>
      </c>
    </row>
    <row r="1002" spans="14:28">
      <c r="N1002">
        <v>1000</v>
      </c>
      <c r="O1002">
        <f t="shared" si="217"/>
        <v>0</v>
      </c>
      <c r="P1002">
        <f t="shared" si="218"/>
        <v>10000</v>
      </c>
      <c r="Q1002">
        <f t="shared" si="219"/>
        <v>5</v>
      </c>
      <c r="R1002" s="4">
        <f t="shared" si="220"/>
        <v>32000000</v>
      </c>
      <c r="S1002" s="3">
        <f t="shared" si="221"/>
        <v>5</v>
      </c>
      <c r="T1002" t="str">
        <f t="shared" si="222"/>
        <v>1E84800</v>
      </c>
      <c r="V1002">
        <v>1000</v>
      </c>
      <c r="W1002">
        <f t="shared" si="213"/>
        <v>1600</v>
      </c>
      <c r="X1002">
        <f t="shared" si="216"/>
        <v>10000</v>
      </c>
      <c r="Y1002">
        <f t="shared" si="214"/>
        <v>60</v>
      </c>
      <c r="Z1002" s="4">
        <f t="shared" si="225"/>
        <v>2666666.6666666665</v>
      </c>
      <c r="AA1002" s="3">
        <f t="shared" si="225"/>
        <v>60</v>
      </c>
      <c r="AB1002" t="str">
        <f t="shared" si="224"/>
        <v>28B0AA</v>
      </c>
    </row>
    <row r="1003" spans="14:28">
      <c r="N1003">
        <v>1001</v>
      </c>
      <c r="O1003">
        <f t="shared" si="217"/>
        <v>10</v>
      </c>
      <c r="P1003">
        <f t="shared" si="218"/>
        <v>10010</v>
      </c>
      <c r="Q1003">
        <f t="shared" si="219"/>
        <v>12.8</v>
      </c>
      <c r="R1003" s="4">
        <f t="shared" si="220"/>
        <v>12500000</v>
      </c>
      <c r="S1003" s="3">
        <f t="shared" si="221"/>
        <v>12.8</v>
      </c>
      <c r="T1003" t="str">
        <f t="shared" si="222"/>
        <v>BEBC20</v>
      </c>
      <c r="V1003">
        <v>1001</v>
      </c>
      <c r="W1003">
        <f t="shared" si="213"/>
        <v>1610</v>
      </c>
      <c r="X1003">
        <f t="shared" si="216"/>
        <v>10010</v>
      </c>
      <c r="Y1003">
        <f t="shared" si="214"/>
        <v>60</v>
      </c>
      <c r="Z1003" s="4">
        <f t="shared" si="225"/>
        <v>2666666.6666666665</v>
      </c>
      <c r="AA1003" s="3">
        <f t="shared" si="225"/>
        <v>60</v>
      </c>
      <c r="AB1003" t="str">
        <f t="shared" si="224"/>
        <v>28B0AA</v>
      </c>
    </row>
    <row r="1004" spans="14:28">
      <c r="N1004">
        <v>1002</v>
      </c>
      <c r="O1004">
        <f t="shared" si="217"/>
        <v>20</v>
      </c>
      <c r="P1004">
        <f t="shared" si="218"/>
        <v>10020</v>
      </c>
      <c r="Q1004">
        <f t="shared" si="219"/>
        <v>20.6</v>
      </c>
      <c r="R1004" s="4">
        <f t="shared" si="220"/>
        <v>7766990.2912621358</v>
      </c>
      <c r="S1004" s="3">
        <f t="shared" si="221"/>
        <v>20.6</v>
      </c>
      <c r="T1004" t="str">
        <f t="shared" si="222"/>
        <v>7683CE</v>
      </c>
      <c r="V1004">
        <v>1002</v>
      </c>
      <c r="W1004">
        <f t="shared" si="213"/>
        <v>1620</v>
      </c>
      <c r="X1004">
        <f t="shared" si="216"/>
        <v>10020</v>
      </c>
      <c r="Y1004">
        <f t="shared" si="214"/>
        <v>60</v>
      </c>
      <c r="Z1004" s="4">
        <f t="shared" si="225"/>
        <v>2666666.6666666665</v>
      </c>
      <c r="AA1004" s="3">
        <f t="shared" si="225"/>
        <v>60</v>
      </c>
      <c r="AB1004" t="str">
        <f t="shared" si="224"/>
        <v>28B0AA</v>
      </c>
    </row>
    <row r="1005" spans="14:28">
      <c r="N1005">
        <v>1003</v>
      </c>
      <c r="O1005">
        <f t="shared" si="217"/>
        <v>30</v>
      </c>
      <c r="P1005">
        <f t="shared" si="218"/>
        <v>10030</v>
      </c>
      <c r="Q1005">
        <f t="shared" si="219"/>
        <v>28.4</v>
      </c>
      <c r="R1005" s="4">
        <f t="shared" si="220"/>
        <v>5633802.8169014091</v>
      </c>
      <c r="S1005" s="3">
        <f t="shared" si="221"/>
        <v>28.4</v>
      </c>
      <c r="T1005" t="str">
        <f t="shared" si="222"/>
        <v>55F70A</v>
      </c>
      <c r="V1005">
        <v>1003</v>
      </c>
      <c r="W1005">
        <f t="shared" si="213"/>
        <v>1630</v>
      </c>
      <c r="X1005">
        <f t="shared" si="216"/>
        <v>10030</v>
      </c>
      <c r="Y1005">
        <f t="shared" si="214"/>
        <v>60</v>
      </c>
      <c r="Z1005" s="4">
        <f t="shared" si="225"/>
        <v>2666666.6666666665</v>
      </c>
      <c r="AA1005" s="3">
        <f t="shared" si="225"/>
        <v>60</v>
      </c>
      <c r="AB1005" t="str">
        <f t="shared" si="224"/>
        <v>28B0AA</v>
      </c>
    </row>
    <row r="1006" spans="14:28">
      <c r="N1006">
        <v>1004</v>
      </c>
      <c r="O1006">
        <f t="shared" si="217"/>
        <v>40</v>
      </c>
      <c r="P1006">
        <f t="shared" si="218"/>
        <v>10040</v>
      </c>
      <c r="Q1006">
        <f t="shared" si="219"/>
        <v>36.200000000000003</v>
      </c>
      <c r="R1006" s="4">
        <f t="shared" si="220"/>
        <v>4419889.5027624303</v>
      </c>
      <c r="S1006" s="3">
        <f t="shared" si="221"/>
        <v>36.200000000000003</v>
      </c>
      <c r="T1006" t="str">
        <f t="shared" si="222"/>
        <v>437131</v>
      </c>
      <c r="V1006">
        <v>1004</v>
      </c>
      <c r="W1006">
        <f t="shared" si="213"/>
        <v>1640</v>
      </c>
      <c r="X1006">
        <f t="shared" si="216"/>
        <v>10040</v>
      </c>
      <c r="Y1006">
        <f t="shared" si="214"/>
        <v>60</v>
      </c>
      <c r="Z1006" s="4">
        <f t="shared" si="225"/>
        <v>2666666.6666666665</v>
      </c>
      <c r="AA1006" s="3">
        <f t="shared" si="225"/>
        <v>60</v>
      </c>
      <c r="AB1006" t="str">
        <f t="shared" si="224"/>
        <v>28B0AA</v>
      </c>
    </row>
    <row r="1007" spans="14:28">
      <c r="N1007">
        <v>1005</v>
      </c>
      <c r="O1007">
        <f t="shared" si="217"/>
        <v>50</v>
      </c>
      <c r="P1007">
        <f t="shared" si="218"/>
        <v>10050</v>
      </c>
      <c r="Q1007">
        <f t="shared" si="219"/>
        <v>44</v>
      </c>
      <c r="R1007" s="4">
        <f t="shared" si="220"/>
        <v>3636363.6363636362</v>
      </c>
      <c r="S1007" s="3">
        <f t="shared" si="221"/>
        <v>44</v>
      </c>
      <c r="T1007" t="str">
        <f t="shared" si="222"/>
        <v>377C8B</v>
      </c>
      <c r="V1007">
        <v>1005</v>
      </c>
      <c r="W1007">
        <f t="shared" si="213"/>
        <v>1650</v>
      </c>
      <c r="X1007">
        <f t="shared" si="216"/>
        <v>10050</v>
      </c>
      <c r="Y1007">
        <f t="shared" si="214"/>
        <v>60</v>
      </c>
      <c r="Z1007" s="4">
        <f t="shared" si="225"/>
        <v>2666666.6666666665</v>
      </c>
      <c r="AA1007" s="3">
        <f t="shared" si="225"/>
        <v>60</v>
      </c>
      <c r="AB1007" t="str">
        <f t="shared" si="224"/>
        <v>28B0AA</v>
      </c>
    </row>
    <row r="1008" spans="14:28">
      <c r="N1008">
        <v>1006</v>
      </c>
      <c r="O1008">
        <f t="shared" si="217"/>
        <v>60</v>
      </c>
      <c r="P1008">
        <f t="shared" si="218"/>
        <v>10060</v>
      </c>
      <c r="Q1008">
        <f t="shared" si="219"/>
        <v>51.8</v>
      </c>
      <c r="R1008" s="4">
        <f t="shared" si="220"/>
        <v>3088803.0888030888</v>
      </c>
      <c r="S1008" s="3">
        <f t="shared" si="221"/>
        <v>51.800000000000004</v>
      </c>
      <c r="T1008" t="str">
        <f t="shared" si="222"/>
        <v>2F21A3</v>
      </c>
      <c r="V1008">
        <v>1006</v>
      </c>
      <c r="W1008">
        <f t="shared" si="213"/>
        <v>1660</v>
      </c>
      <c r="X1008">
        <f t="shared" si="216"/>
        <v>10060</v>
      </c>
      <c r="Y1008">
        <f t="shared" si="214"/>
        <v>60</v>
      </c>
      <c r="Z1008" s="4">
        <f t="shared" si="225"/>
        <v>2666666.6666666665</v>
      </c>
      <c r="AA1008" s="3">
        <f t="shared" si="225"/>
        <v>60</v>
      </c>
      <c r="AB1008" t="str">
        <f t="shared" si="224"/>
        <v>28B0AA</v>
      </c>
    </row>
    <row r="1009" spans="14:28">
      <c r="N1009">
        <v>1007</v>
      </c>
      <c r="O1009">
        <f t="shared" si="217"/>
        <v>70</v>
      </c>
      <c r="P1009">
        <f t="shared" si="218"/>
        <v>10070</v>
      </c>
      <c r="Q1009">
        <f t="shared" si="219"/>
        <v>59.600000000000009</v>
      </c>
      <c r="R1009" s="4">
        <f t="shared" si="220"/>
        <v>2684563.7583892616</v>
      </c>
      <c r="S1009" s="3">
        <f t="shared" si="221"/>
        <v>59.6</v>
      </c>
      <c r="T1009" t="str">
        <f t="shared" si="222"/>
        <v>28F693</v>
      </c>
      <c r="V1009">
        <v>1007</v>
      </c>
      <c r="W1009">
        <f t="shared" si="213"/>
        <v>1670</v>
      </c>
      <c r="X1009">
        <f t="shared" si="216"/>
        <v>10070</v>
      </c>
      <c r="Y1009">
        <f t="shared" si="214"/>
        <v>60</v>
      </c>
      <c r="Z1009" s="4">
        <f t="shared" si="225"/>
        <v>2666666.6666666665</v>
      </c>
      <c r="AA1009" s="3">
        <f t="shared" si="225"/>
        <v>60</v>
      </c>
      <c r="AB1009" t="str">
        <f t="shared" si="224"/>
        <v>28B0AA</v>
      </c>
    </row>
    <row r="1010" spans="14:28">
      <c r="N1010">
        <v>1008</v>
      </c>
      <c r="O1010">
        <f t="shared" si="217"/>
        <v>80</v>
      </c>
      <c r="P1010">
        <f t="shared" si="218"/>
        <v>10080</v>
      </c>
      <c r="Q1010">
        <f t="shared" si="219"/>
        <v>67.400000000000006</v>
      </c>
      <c r="R1010" s="4">
        <f t="shared" si="220"/>
        <v>2373887.240356083</v>
      </c>
      <c r="S1010" s="3">
        <f t="shared" si="221"/>
        <v>67.400000000000006</v>
      </c>
      <c r="T1010" t="str">
        <f t="shared" si="222"/>
        <v>2438FF</v>
      </c>
      <c r="V1010">
        <v>1008</v>
      </c>
      <c r="W1010">
        <f t="shared" si="213"/>
        <v>1680</v>
      </c>
      <c r="X1010">
        <f t="shared" si="216"/>
        <v>10080</v>
      </c>
      <c r="Y1010">
        <f t="shared" si="214"/>
        <v>60</v>
      </c>
      <c r="Z1010" s="4">
        <f t="shared" si="225"/>
        <v>2666666.6666666665</v>
      </c>
      <c r="AA1010" s="3">
        <f t="shared" si="225"/>
        <v>60</v>
      </c>
      <c r="AB1010" t="str">
        <f t="shared" si="224"/>
        <v>28B0AA</v>
      </c>
    </row>
    <row r="1011" spans="14:28">
      <c r="N1011">
        <v>1009</v>
      </c>
      <c r="O1011">
        <f t="shared" si="217"/>
        <v>90</v>
      </c>
      <c r="P1011">
        <f t="shared" si="218"/>
        <v>10090</v>
      </c>
      <c r="Q1011">
        <f t="shared" si="219"/>
        <v>75.2</v>
      </c>
      <c r="R1011" s="4">
        <f t="shared" si="220"/>
        <v>2127659.5744680851</v>
      </c>
      <c r="S1011" s="3">
        <f t="shared" si="221"/>
        <v>75.2</v>
      </c>
      <c r="T1011" t="str">
        <f t="shared" si="222"/>
        <v>20772B</v>
      </c>
      <c r="V1011">
        <v>1009</v>
      </c>
      <c r="W1011">
        <f t="shared" si="213"/>
        <v>1690</v>
      </c>
      <c r="X1011">
        <f t="shared" si="216"/>
        <v>10090</v>
      </c>
      <c r="Y1011">
        <f t="shared" si="214"/>
        <v>60</v>
      </c>
      <c r="Z1011" s="4">
        <f t="shared" si="225"/>
        <v>2666666.6666666665</v>
      </c>
      <c r="AA1011" s="3">
        <f t="shared" si="225"/>
        <v>60</v>
      </c>
      <c r="AB1011" t="str">
        <f t="shared" si="224"/>
        <v>28B0AA</v>
      </c>
    </row>
    <row r="1012" spans="14:28">
      <c r="N1012">
        <v>1010</v>
      </c>
      <c r="O1012">
        <f t="shared" si="217"/>
        <v>100</v>
      </c>
      <c r="P1012">
        <f t="shared" si="218"/>
        <v>10100</v>
      </c>
      <c r="Q1012">
        <f t="shared" si="219"/>
        <v>83</v>
      </c>
      <c r="R1012" s="4">
        <f t="shared" si="220"/>
        <v>1927710.843373494</v>
      </c>
      <c r="S1012" s="3">
        <f t="shared" si="221"/>
        <v>83</v>
      </c>
      <c r="T1012" t="str">
        <f t="shared" si="222"/>
        <v>1D6A1E</v>
      </c>
      <c r="V1012">
        <v>1010</v>
      </c>
      <c r="W1012">
        <f t="shared" si="213"/>
        <v>1700</v>
      </c>
      <c r="X1012">
        <f t="shared" si="216"/>
        <v>10100</v>
      </c>
      <c r="Y1012">
        <f t="shared" si="214"/>
        <v>60</v>
      </c>
      <c r="Z1012" s="4">
        <f t="shared" si="225"/>
        <v>2666666.6666666665</v>
      </c>
      <c r="AA1012" s="3">
        <f t="shared" si="225"/>
        <v>60</v>
      </c>
      <c r="AB1012" t="str">
        <f t="shared" si="224"/>
        <v>28B0AA</v>
      </c>
    </row>
    <row r="1013" spans="14:28">
      <c r="N1013">
        <v>1011</v>
      </c>
      <c r="O1013">
        <f t="shared" si="217"/>
        <v>110</v>
      </c>
      <c r="P1013">
        <f t="shared" si="218"/>
        <v>10110</v>
      </c>
      <c r="Q1013">
        <f t="shared" si="219"/>
        <v>90.8</v>
      </c>
      <c r="R1013" s="4">
        <f t="shared" si="220"/>
        <v>1762114.537444934</v>
      </c>
      <c r="S1013" s="3">
        <f t="shared" si="221"/>
        <v>90.8</v>
      </c>
      <c r="T1013" t="str">
        <f t="shared" si="222"/>
        <v>1AE342</v>
      </c>
      <c r="V1013">
        <v>1011</v>
      </c>
      <c r="W1013">
        <f t="shared" si="213"/>
        <v>1710</v>
      </c>
      <c r="X1013">
        <f t="shared" si="216"/>
        <v>10110</v>
      </c>
      <c r="Y1013">
        <f t="shared" si="214"/>
        <v>58.166666666666664</v>
      </c>
      <c r="Z1013" s="4">
        <f t="shared" si="225"/>
        <v>2750716.3323782235</v>
      </c>
      <c r="AA1013" s="3">
        <f t="shared" si="225"/>
        <v>58.166666666666664</v>
      </c>
      <c r="AB1013" t="str">
        <f t="shared" si="224"/>
        <v>29F8FC</v>
      </c>
    </row>
    <row r="1014" spans="14:28">
      <c r="N1014">
        <v>1012</v>
      </c>
      <c r="O1014">
        <f t="shared" si="217"/>
        <v>120</v>
      </c>
      <c r="P1014">
        <f t="shared" si="218"/>
        <v>10120</v>
      </c>
      <c r="Q1014">
        <f t="shared" si="219"/>
        <v>98.6</v>
      </c>
      <c r="R1014" s="4">
        <f t="shared" si="220"/>
        <v>1622718.0527383368</v>
      </c>
      <c r="S1014" s="3">
        <f t="shared" si="221"/>
        <v>98.6</v>
      </c>
      <c r="T1014" t="str">
        <f t="shared" si="222"/>
        <v>18C2BE</v>
      </c>
      <c r="V1014">
        <v>1012</v>
      </c>
      <c r="W1014">
        <f t="shared" si="213"/>
        <v>1720</v>
      </c>
      <c r="X1014">
        <f t="shared" si="216"/>
        <v>10120</v>
      </c>
      <c r="Y1014">
        <f t="shared" si="214"/>
        <v>56.333333333333336</v>
      </c>
      <c r="Z1014" s="4">
        <f t="shared" si="225"/>
        <v>2840236.6863905326</v>
      </c>
      <c r="AA1014" s="3">
        <f t="shared" si="225"/>
        <v>56.333333333333329</v>
      </c>
      <c r="AB1014" t="str">
        <f t="shared" si="224"/>
        <v>2B56AC</v>
      </c>
    </row>
    <row r="1015" spans="14:28">
      <c r="N1015">
        <v>1013</v>
      </c>
      <c r="O1015">
        <f t="shared" si="217"/>
        <v>130</v>
      </c>
      <c r="P1015">
        <f t="shared" si="218"/>
        <v>10130</v>
      </c>
      <c r="Q1015">
        <f t="shared" si="219"/>
        <v>106.4</v>
      </c>
      <c r="R1015" s="4">
        <f t="shared" si="220"/>
        <v>1503759.3984962406</v>
      </c>
      <c r="S1015" s="3">
        <f t="shared" si="221"/>
        <v>106.4</v>
      </c>
      <c r="T1015" t="str">
        <f t="shared" si="222"/>
        <v>16F20F</v>
      </c>
      <c r="V1015">
        <v>1013</v>
      </c>
      <c r="W1015">
        <f t="shared" si="213"/>
        <v>1730</v>
      </c>
      <c r="X1015">
        <f t="shared" si="216"/>
        <v>10130</v>
      </c>
      <c r="Y1015">
        <f t="shared" si="214"/>
        <v>54.5</v>
      </c>
      <c r="Z1015" s="4">
        <f t="shared" si="225"/>
        <v>2935779.8165137614</v>
      </c>
      <c r="AA1015" s="3">
        <f t="shared" si="225"/>
        <v>54.5</v>
      </c>
      <c r="AB1015" t="str">
        <f t="shared" si="224"/>
        <v>2CCBE3</v>
      </c>
    </row>
    <row r="1016" spans="14:28">
      <c r="N1016">
        <v>1014</v>
      </c>
      <c r="O1016">
        <f t="shared" si="217"/>
        <v>140</v>
      </c>
      <c r="P1016">
        <f t="shared" si="218"/>
        <v>10140</v>
      </c>
      <c r="Q1016">
        <f t="shared" si="219"/>
        <v>114.20000000000002</v>
      </c>
      <c r="R1016" s="4">
        <f t="shared" si="220"/>
        <v>1401050.7880910682</v>
      </c>
      <c r="S1016" s="3">
        <f t="shared" si="221"/>
        <v>114.20000000000002</v>
      </c>
      <c r="T1016" t="str">
        <f t="shared" si="222"/>
        <v>1560DA</v>
      </c>
      <c r="V1016">
        <v>1014</v>
      </c>
      <c r="W1016">
        <f t="shared" si="213"/>
        <v>1740</v>
      </c>
      <c r="X1016">
        <f t="shared" si="216"/>
        <v>10140</v>
      </c>
      <c r="Y1016">
        <f t="shared" si="214"/>
        <v>52.666666666666671</v>
      </c>
      <c r="Z1016" s="4">
        <f t="shared" si="225"/>
        <v>3037974.6835443038</v>
      </c>
      <c r="AA1016" s="3">
        <f t="shared" si="225"/>
        <v>52.666666666666664</v>
      </c>
      <c r="AB1016" t="str">
        <f t="shared" si="224"/>
        <v>2E5B16</v>
      </c>
    </row>
    <row r="1017" spans="14:28">
      <c r="N1017">
        <v>1015</v>
      </c>
      <c r="O1017">
        <f t="shared" si="217"/>
        <v>150</v>
      </c>
      <c r="P1017">
        <f t="shared" si="218"/>
        <v>10150</v>
      </c>
      <c r="Q1017">
        <f t="shared" si="219"/>
        <v>122</v>
      </c>
      <c r="R1017" s="4">
        <f t="shared" si="220"/>
        <v>1311475.4098360655</v>
      </c>
      <c r="S1017" s="3">
        <f t="shared" si="221"/>
        <v>122.00000000000001</v>
      </c>
      <c r="T1017" t="str">
        <f t="shared" si="222"/>
        <v>1402F3</v>
      </c>
      <c r="V1017">
        <v>1015</v>
      </c>
      <c r="W1017">
        <f t="shared" si="213"/>
        <v>1750</v>
      </c>
      <c r="X1017">
        <f t="shared" si="216"/>
        <v>10150</v>
      </c>
      <c r="Y1017">
        <f t="shared" si="214"/>
        <v>50.833333333333336</v>
      </c>
      <c r="Z1017" s="4">
        <f t="shared" si="225"/>
        <v>3147540.9836065574</v>
      </c>
      <c r="AA1017" s="3">
        <f t="shared" si="225"/>
        <v>50.833333333333336</v>
      </c>
      <c r="AB1017" t="str">
        <f t="shared" si="224"/>
        <v>300714</v>
      </c>
    </row>
    <row r="1018" spans="14:28">
      <c r="N1018">
        <v>1016</v>
      </c>
      <c r="O1018">
        <f t="shared" si="217"/>
        <v>160</v>
      </c>
      <c r="P1018">
        <f t="shared" si="218"/>
        <v>10160</v>
      </c>
      <c r="Q1018">
        <f t="shared" si="219"/>
        <v>129.80000000000001</v>
      </c>
      <c r="R1018" s="4">
        <f t="shared" si="220"/>
        <v>1232665.6394453004</v>
      </c>
      <c r="S1018" s="3">
        <f t="shared" si="221"/>
        <v>129.80000000000001</v>
      </c>
      <c r="T1018" t="str">
        <f t="shared" si="222"/>
        <v>12CF19</v>
      </c>
      <c r="V1018">
        <v>1016</v>
      </c>
      <c r="W1018">
        <f t="shared" si="213"/>
        <v>1760</v>
      </c>
      <c r="X1018">
        <f t="shared" si="216"/>
        <v>10160</v>
      </c>
      <c r="Y1018">
        <f t="shared" si="214"/>
        <v>49</v>
      </c>
      <c r="Z1018" s="4">
        <f t="shared" si="225"/>
        <v>3265306.1224489794</v>
      </c>
      <c r="AA1018" s="3">
        <f t="shared" si="225"/>
        <v>49</v>
      </c>
      <c r="AB1018" t="str">
        <f t="shared" si="224"/>
        <v>31D31A</v>
      </c>
    </row>
    <row r="1019" spans="14:28">
      <c r="N1019">
        <v>1017</v>
      </c>
      <c r="O1019">
        <f t="shared" si="217"/>
        <v>170</v>
      </c>
      <c r="P1019">
        <f t="shared" si="218"/>
        <v>10170</v>
      </c>
      <c r="Q1019">
        <f t="shared" si="219"/>
        <v>137.60000000000002</v>
      </c>
      <c r="R1019" s="4">
        <f t="shared" si="220"/>
        <v>1162790.6976744183</v>
      </c>
      <c r="S1019" s="3">
        <f t="shared" si="221"/>
        <v>137.60000000000002</v>
      </c>
      <c r="T1019" t="str">
        <f t="shared" si="222"/>
        <v>11BE26</v>
      </c>
      <c r="V1019">
        <v>1017</v>
      </c>
      <c r="W1019">
        <f t="shared" si="213"/>
        <v>1770</v>
      </c>
      <c r="X1019">
        <f t="shared" si="216"/>
        <v>10170</v>
      </c>
      <c r="Y1019">
        <f t="shared" si="214"/>
        <v>47.166666666666671</v>
      </c>
      <c r="Z1019" s="4">
        <f t="shared" ref="Z1019:AA1023" si="226">IFERROR(160*1000*1000/Y1019,0)</f>
        <v>3392226.1484098937</v>
      </c>
      <c r="AA1019" s="3">
        <f t="shared" si="226"/>
        <v>47.166666666666671</v>
      </c>
      <c r="AB1019" t="str">
        <f t="shared" si="224"/>
        <v>33C2E2</v>
      </c>
    </row>
    <row r="1020" spans="14:28">
      <c r="N1020">
        <v>1018</v>
      </c>
      <c r="O1020">
        <f t="shared" si="217"/>
        <v>180</v>
      </c>
      <c r="P1020">
        <f t="shared" si="218"/>
        <v>10180</v>
      </c>
      <c r="Q1020">
        <f t="shared" si="219"/>
        <v>145.4</v>
      </c>
      <c r="R1020" s="4">
        <f t="shared" si="220"/>
        <v>1100412.6547455296</v>
      </c>
      <c r="S1020" s="3">
        <f t="shared" si="221"/>
        <v>145.39999999999998</v>
      </c>
      <c r="T1020" t="str">
        <f t="shared" si="222"/>
        <v>10CA7C</v>
      </c>
      <c r="V1020">
        <v>1018</v>
      </c>
      <c r="W1020">
        <f t="shared" si="213"/>
        <v>1780</v>
      </c>
      <c r="X1020">
        <f t="shared" si="216"/>
        <v>10180</v>
      </c>
      <c r="Y1020">
        <f t="shared" si="214"/>
        <v>45.333333333333329</v>
      </c>
      <c r="Z1020" s="4">
        <f t="shared" si="226"/>
        <v>3529411.7647058829</v>
      </c>
      <c r="AA1020" s="3">
        <f t="shared" si="226"/>
        <v>45.333333333333329</v>
      </c>
      <c r="AB1020" t="str">
        <f t="shared" si="224"/>
        <v>35DAC3</v>
      </c>
    </row>
    <row r="1021" spans="14:28">
      <c r="N1021">
        <v>1019</v>
      </c>
      <c r="O1021">
        <f t="shared" si="217"/>
        <v>190</v>
      </c>
      <c r="P1021">
        <f t="shared" si="218"/>
        <v>10190</v>
      </c>
      <c r="Q1021">
        <f t="shared" si="219"/>
        <v>153.19999999999999</v>
      </c>
      <c r="R1021" s="4">
        <f t="shared" si="220"/>
        <v>1044386.4229765014</v>
      </c>
      <c r="S1021" s="3">
        <f t="shared" si="221"/>
        <v>153.19999999999999</v>
      </c>
      <c r="T1021" t="str">
        <f t="shared" si="222"/>
        <v>FEFA2</v>
      </c>
      <c r="V1021">
        <v>1019</v>
      </c>
      <c r="W1021">
        <f t="shared" si="213"/>
        <v>1790</v>
      </c>
      <c r="X1021">
        <f t="shared" si="216"/>
        <v>10190</v>
      </c>
      <c r="Y1021">
        <f t="shared" si="214"/>
        <v>43.5</v>
      </c>
      <c r="Z1021" s="4">
        <f t="shared" si="226"/>
        <v>3678160.9195402297</v>
      </c>
      <c r="AA1021" s="3">
        <f t="shared" si="226"/>
        <v>43.5</v>
      </c>
      <c r="AB1021" t="str">
        <f t="shared" si="224"/>
        <v>381FD0</v>
      </c>
    </row>
    <row r="1022" spans="14:28">
      <c r="N1022">
        <v>1020</v>
      </c>
      <c r="O1022">
        <f t="shared" si="217"/>
        <v>200</v>
      </c>
      <c r="P1022">
        <f t="shared" si="218"/>
        <v>10200</v>
      </c>
      <c r="Q1022">
        <f t="shared" si="219"/>
        <v>161</v>
      </c>
      <c r="R1022" s="4">
        <f t="shared" si="220"/>
        <v>993788.81987577642</v>
      </c>
      <c r="S1022" s="3">
        <f t="shared" si="221"/>
        <v>161</v>
      </c>
      <c r="T1022" t="str">
        <f t="shared" si="222"/>
        <v>F29FC</v>
      </c>
      <c r="V1022">
        <v>1020</v>
      </c>
      <c r="W1022">
        <f t="shared" si="213"/>
        <v>1800</v>
      </c>
      <c r="X1022">
        <f t="shared" si="216"/>
        <v>10200</v>
      </c>
      <c r="Y1022">
        <f t="shared" si="214"/>
        <v>41.666666666666664</v>
      </c>
      <c r="Z1022" s="4">
        <f t="shared" si="226"/>
        <v>3840000</v>
      </c>
      <c r="AA1022" s="3">
        <f t="shared" si="226"/>
        <v>41.666666666666664</v>
      </c>
      <c r="AB1022" t="str">
        <f t="shared" si="224"/>
        <v>3A9800</v>
      </c>
    </row>
    <row r="1023" spans="14:28">
      <c r="N1023">
        <v>1021</v>
      </c>
      <c r="O1023">
        <f t="shared" si="217"/>
        <v>210</v>
      </c>
      <c r="P1023">
        <f t="shared" si="218"/>
        <v>10210</v>
      </c>
      <c r="Q1023">
        <f t="shared" si="219"/>
        <v>168.79999999999998</v>
      </c>
      <c r="R1023" s="4">
        <f t="shared" si="220"/>
        <v>947867.29857819912</v>
      </c>
      <c r="S1023" s="3">
        <f t="shared" si="221"/>
        <v>168.79999999999998</v>
      </c>
      <c r="T1023" t="str">
        <f t="shared" si="222"/>
        <v>E769B</v>
      </c>
      <c r="V1023">
        <v>1021</v>
      </c>
      <c r="W1023">
        <f t="shared" ref="W1023" si="227">MOD(X1023,$A$14+$A$15)</f>
        <v>1810</v>
      </c>
      <c r="X1023">
        <f t="shared" si="216"/>
        <v>10210</v>
      </c>
      <c r="Y1023">
        <f t="shared" si="214"/>
        <v>39.833333333333329</v>
      </c>
      <c r="Z1023" s="4">
        <f t="shared" si="226"/>
        <v>4016736.4016736406</v>
      </c>
      <c r="AA1023" s="3">
        <f t="shared" si="226"/>
        <v>39.833333333333329</v>
      </c>
      <c r="AB1023" t="str">
        <f t="shared" si="224"/>
        <v>3D4A60</v>
      </c>
    </row>
  </sheetData>
  <phoneticPr fontId="1"/>
  <dataValidations count="2">
    <dataValidation type="list" allowBlank="1" showInputMessage="1" showErrorMessage="1" sqref="A8 A17" xr:uid="{2DCD1AD2-7EB4-41EF-9F01-6E27A2CF8F4D}">
      <formula1>$K$1:$K$5</formula1>
    </dataValidation>
    <dataValidation type="list" allowBlank="1" showInputMessage="1" showErrorMessage="1" sqref="B1" xr:uid="{53B5DA96-3006-4285-B1EE-28318A1AD292}">
      <formula1>$F$1:$F$8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69923-1BC9-4EFC-B879-0ADF28F967CA}">
  <sheetPr codeName="Sheet3"/>
  <dimension ref="A1:G2"/>
  <sheetViews>
    <sheetView workbookViewId="0">
      <selection activeCell="F4" sqref="F4"/>
    </sheetView>
  </sheetViews>
  <sheetFormatPr defaultColWidth="2.625" defaultRowHeight="18.75"/>
  <sheetData>
    <row r="1" spans="1:7">
      <c r="A1" t="s">
        <v>596</v>
      </c>
      <c r="B1" t="s">
        <v>598</v>
      </c>
      <c r="C1" t="s">
        <v>559</v>
      </c>
      <c r="D1" t="s">
        <v>567</v>
      </c>
      <c r="E1" t="s">
        <v>597</v>
      </c>
      <c r="F1">
        <v>3</v>
      </c>
      <c r="G1" t="s">
        <v>599</v>
      </c>
    </row>
    <row r="2" spans="1:7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ピン配置</vt:lpstr>
      <vt:lpstr>シリアル通信</vt:lpstr>
      <vt:lpstr>通信マクロ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2019-09-19T10:57:49Z</dcterms:modified>
</cp:coreProperties>
</file>